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jamil\Downloads\"/>
    </mc:Choice>
  </mc:AlternateContent>
  <xr:revisionPtr revIDLastSave="0" documentId="13_ncr:1_{BEEAC209-FCB1-4AF1-A744-6A30278BF523}" xr6:coauthVersionLast="47" xr6:coauthVersionMax="47" xr10:uidLastSave="{00000000-0000-0000-0000-000000000000}"/>
  <bookViews>
    <workbookView xWindow="-28920" yWindow="-120" windowWidth="29040" windowHeight="16440" xr2:uid="{B4F5B23F-B6C1-4FCB-9EAE-B530A4EA985D}"/>
  </bookViews>
  <sheets>
    <sheet name="Calculadora de Investimento" sheetId="1" r:id="rId1"/>
    <sheet name="Planilha Base" sheetId="3" r:id="rId2"/>
    <sheet name="IPCA Base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8" i="1" l="1"/>
  <c r="B49" i="1"/>
  <c r="B50" i="1"/>
  <c r="B51" i="1"/>
  <c r="B52" i="1"/>
  <c r="B53" i="1"/>
  <c r="B48" i="1"/>
  <c r="E45" i="1"/>
  <c r="I4" i="3" l="1"/>
  <c r="I5" i="3"/>
  <c r="F20" i="1" l="1"/>
  <c r="J13" i="3"/>
  <c r="F27" i="1" s="1"/>
  <c r="J12" i="3"/>
  <c r="J14" i="3"/>
  <c r="F13" i="3"/>
  <c r="F12" i="3"/>
  <c r="F14" i="3"/>
  <c r="I10" i="3"/>
  <c r="I11" i="3"/>
  <c r="I9" i="3"/>
  <c r="F9" i="3"/>
  <c r="F10" i="3"/>
  <c r="F11" i="3"/>
  <c r="J6" i="3"/>
  <c r="J7" i="3"/>
  <c r="J8" i="3"/>
  <c r="F6" i="3"/>
  <c r="F7" i="3"/>
  <c r="F8" i="3"/>
  <c r="F4" i="3"/>
  <c r="F5" i="3"/>
  <c r="F3" i="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2" i="2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D74" i="2"/>
  <c r="D86" i="2"/>
  <c r="D98" i="2"/>
  <c r="D104" i="2"/>
  <c r="D116" i="2"/>
  <c r="D122" i="2"/>
  <c r="D128" i="2"/>
  <c r="D134" i="2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C105" i="2"/>
  <c r="D105" i="2" s="1"/>
  <c r="C106" i="2"/>
  <c r="D106" i="2" s="1"/>
  <c r="C107" i="2"/>
  <c r="D107" i="2" s="1"/>
  <c r="C108" i="2"/>
  <c r="D108" i="2" s="1"/>
  <c r="C109" i="2"/>
  <c r="D109" i="2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C135" i="2"/>
  <c r="D135" i="2" s="1"/>
  <c r="C136" i="2"/>
  <c r="D136" i="2" s="1"/>
  <c r="C137" i="2"/>
  <c r="D137" i="2" s="1"/>
  <c r="C2" i="2"/>
  <c r="D2" i="2" s="1"/>
  <c r="G27" i="1" l="1"/>
  <c r="F37" i="1"/>
  <c r="E50" i="1"/>
  <c r="G50" i="1" s="1"/>
  <c r="E49" i="1"/>
  <c r="G49" i="1" s="1"/>
  <c r="E48" i="1"/>
  <c r="G48" i="1" s="1"/>
  <c r="E52" i="1"/>
  <c r="G52" i="1" s="1"/>
  <c r="E53" i="1"/>
  <c r="G53" i="1" s="1"/>
  <c r="E51" i="1"/>
  <c r="G51" i="1" s="1"/>
  <c r="F28" i="1"/>
  <c r="B40" i="1" s="1"/>
  <c r="F26" i="1"/>
  <c r="G26" i="1" s="1"/>
  <c r="I12" i="3"/>
  <c r="I14" i="3"/>
  <c r="I13" i="3"/>
  <c r="G28" i="1" l="1"/>
  <c r="F40" i="1"/>
  <c r="G54" i="1"/>
  <c r="M25" i="1"/>
  <c r="M32" i="1" s="1"/>
  <c r="M26" i="1"/>
  <c r="M33" i="1" s="1"/>
  <c r="M27" i="1"/>
  <c r="M34" i="1" s="1"/>
  <c r="M28" i="1"/>
  <c r="M35" i="1" s="1"/>
  <c r="M24" i="1"/>
  <c r="M31" i="1" s="1"/>
  <c r="G29" i="1"/>
  <c r="F39" i="1" s="1"/>
  <c r="I3" i="3"/>
  <c r="F29" i="1" l="1"/>
  <c r="F35" i="1"/>
  <c r="F38" i="1" s="1"/>
  <c r="F3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Jamil Machado</author>
  </authors>
  <commentList>
    <comment ref="B17" authorId="0" shapeId="0" xr:uid="{82B4DD62-F25C-4B42-B17D-0B3D45EF4923}">
      <text>
        <r>
          <rPr>
            <sz val="9"/>
            <color indexed="81"/>
            <rFont val="Segoe UI"/>
            <family val="2"/>
          </rPr>
          <t>Informar seu ganhos mensais.</t>
        </r>
      </text>
    </comment>
    <comment ref="B18" authorId="0" shapeId="0" xr:uid="{12EF6E3C-D244-4A07-B908-479597C6675B}">
      <text>
        <r>
          <rPr>
            <sz val="9"/>
            <color indexed="81"/>
            <rFont val="Segoe UI"/>
            <family val="2"/>
          </rPr>
          <t>Se além dos aportes mensais for aplicado um valor inicial.</t>
        </r>
      </text>
    </comment>
    <comment ref="B19" authorId="0" shapeId="0" xr:uid="{D5577CE2-C832-46F1-8A1A-8DFFC397CDFE}">
      <text>
        <r>
          <rPr>
            <sz val="9"/>
            <color indexed="81"/>
            <rFont val="Segoe UI"/>
            <charset val="1"/>
          </rPr>
          <t xml:space="preserve">Insira o valor que você almeja possuir.
</t>
        </r>
      </text>
    </comment>
    <comment ref="B20" authorId="0" shapeId="0" xr:uid="{425E5CAA-D020-473E-B531-0575A1089850}">
      <text>
        <r>
          <rPr>
            <sz val="9"/>
            <color indexed="81"/>
            <rFont val="Segoe UI"/>
            <charset val="1"/>
          </rPr>
          <t>Irá gerar um valor automaticamente ao informar o salário como sugestão para investir no mês, especialistas recomendam que separe 30% dos ganhos mensais para investimentos!</t>
        </r>
      </text>
    </comment>
    <comment ref="B23" authorId="0" shapeId="0" xr:uid="{49C186BF-19C9-4099-BEA5-DA3B8A6B1F95}">
      <text>
        <r>
          <rPr>
            <sz val="9"/>
            <color indexed="81"/>
            <rFont val="Segoe UI"/>
            <family val="2"/>
          </rPr>
          <t>Escolha entre os cenários pré-definidos Otimista, Realista e Pessimista, ou opte por personalizar.</t>
        </r>
      </text>
    </comment>
    <comment ref="B26" authorId="0" shapeId="0" xr:uid="{448D7572-B59D-4976-AC6F-96DF974AAB6A}">
      <text>
        <r>
          <rPr>
            <sz val="9"/>
            <color indexed="81"/>
            <rFont val="Segoe UI"/>
            <family val="2"/>
          </rPr>
          <t>Aqui considerou nos três cenários Otimista, Realista e Pessimistas taxas de retorno de 1%, 0,7% e 0,5% de retorno respectivamente. A rentabilidade do conjunto de todos os seus investimentos vai sempre depender do quanto você já investiu na sua educação financeira para obter as melhores taxas.</t>
        </r>
      </text>
    </comment>
    <comment ref="B27" authorId="0" shapeId="0" xr:uid="{FD066520-2EA6-49FC-92B8-A210DD6BABEF}">
      <text>
        <r>
          <rPr>
            <sz val="9"/>
            <color indexed="81"/>
            <rFont val="Segoe UI"/>
            <family val="2"/>
          </rPr>
          <t>Todo ano o Banco Central publica qual será a meta da inflação. Atualmente o centro da meta é 4,5%(Realista) ao ano. A meta mínima é 3%(Otimista) e o teto da meta é 6%(Pessimista).</t>
        </r>
      </text>
    </comment>
    <comment ref="B28" authorId="0" shapeId="0" xr:uid="{5F9556E8-76F1-49EF-8CCB-CC2F46AA8E0F}">
      <text>
        <r>
          <rPr>
            <sz val="9"/>
            <color indexed="81"/>
            <rFont val="Segoe UI"/>
            <family val="2"/>
          </rPr>
          <t xml:space="preserve">Tendemos a crescer profissionalmente e a ganhar mais com o passar dos anos. Isso permitirá poupar mais. Você pode optar pelo aumento dos seus investimentos mensais acima da inflação utilizando esse campo.
</t>
        </r>
      </text>
    </comment>
    <comment ref="B29" authorId="0" shapeId="0" xr:uid="{72E9C9DF-510B-4B7F-A671-1EC0FE2F05B2}">
      <text>
        <r>
          <rPr>
            <sz val="9"/>
            <color indexed="81"/>
            <rFont val="Segoe UI"/>
            <family val="2"/>
          </rPr>
          <t>O simulador apresentará a taxa de juros com a inflação descontada no formato anual e mensal.</t>
        </r>
      </text>
    </comment>
    <comment ref="B33" authorId="0" shapeId="0" xr:uid="{20501498-02C7-4443-83AC-5CA510A59D90}">
      <text>
        <r>
          <rPr>
            <sz val="9"/>
            <color indexed="81"/>
            <rFont val="Segoe UI"/>
            <family val="2"/>
          </rPr>
          <t>Informe quanto você pretende investir mensalmente nesse campo. Teremos outros campos onde você poderá determinar em quanto pretende aumentar o seu investimento com o passar do tempo.</t>
        </r>
      </text>
    </comment>
    <comment ref="B34" authorId="0" shapeId="0" xr:uid="{36355685-75EF-4C02-ACF7-F371EB0EC214}">
      <text>
        <r>
          <rPr>
            <b/>
            <sz val="9"/>
            <color indexed="81"/>
            <rFont val="Segoe UI"/>
            <family val="2"/>
          </rPr>
          <t>Informe por quantos anos você pretende investir.</t>
        </r>
      </text>
    </comment>
    <comment ref="B35" authorId="0" shapeId="0" xr:uid="{BCB1BBAF-E5AB-48B7-B164-9B63A0A226DE}">
      <text>
        <r>
          <rPr>
            <sz val="9"/>
            <color indexed="81"/>
            <rFont val="Segoe UI"/>
            <family val="2"/>
          </rPr>
          <t>Aqui teremos o resultado final do seu investimento calculado através da taxa de juros do campo “Taxa de Juros Real” portanto considerando a inflação, se não quiser considerar a inflação basta escolher cenário "Personalizado" e inserir 0% para inflação. Consideremos que o investimento mensal foi fixo, exatamente o mesmo que você digitou no campo “Quanto investir por mês”.</t>
        </r>
      </text>
    </comment>
    <comment ref="B36" authorId="0" shapeId="0" xr:uid="{4B9969C5-D66D-417C-8B48-2D65C4FA41A5}">
      <text>
        <r>
          <rPr>
            <b/>
            <sz val="9"/>
            <color indexed="81"/>
            <rFont val="Segoe UI"/>
            <family val="2"/>
          </rPr>
          <t>Aqui teremos o rendimento mensal em relação ao patrimônio acumulado final do seu investimento calculado através da taxa de juros que você digitou no campo “Retorno”. Consideremos que o investimento mensal foi fixo, exatamente o mesmo que você digitou no campo “Quanto investir por mês”.</t>
        </r>
      </text>
    </comment>
    <comment ref="B37" authorId="0" shapeId="0" xr:uid="{C98C454B-09EA-4061-B930-CBE1CC11AA03}">
      <text>
        <r>
          <rPr>
            <sz val="9"/>
            <color indexed="81"/>
            <rFont val="Segoe UI"/>
            <family val="2"/>
          </rPr>
          <t>Nesse campo mostra o valor que você estabeleceu como meta corrigido pela inflação após o prazo informado.</t>
        </r>
      </text>
    </comment>
    <comment ref="B39" authorId="0" shapeId="0" xr:uid="{66F744C6-BB82-4688-AF39-ACAE148815A3}">
      <text>
        <r>
          <rPr>
            <sz val="9"/>
            <color indexed="81"/>
            <rFont val="Segoe UI"/>
            <family val="2"/>
          </rPr>
          <t>Aqui irá mostrar o valor que é preciso poupar todo mês para atingir o valor da meta corrigida pela inflação no prazo informado.</t>
        </r>
      </text>
    </comment>
    <comment ref="B40" authorId="0" shapeId="0" xr:uid="{58033806-F903-4CC1-983B-2B668A5885E2}">
      <text>
        <r>
          <rPr>
            <sz val="9"/>
            <color indexed="81"/>
            <rFont val="Segoe UI"/>
            <family val="2"/>
          </rPr>
          <t>Aqui representa o valor final do aporte mensal considerando um aumento de investimento pela taxa informada.</t>
        </r>
      </text>
    </comment>
  </commentList>
</comments>
</file>

<file path=xl/sharedStrings.xml><?xml version="1.0" encoding="utf-8"?>
<sst xmlns="http://schemas.openxmlformats.org/spreadsheetml/2006/main" count="113" uniqueCount="55">
  <si>
    <t>Quanto investir por mês ?</t>
  </si>
  <si>
    <t>Por Quantos Anos ?</t>
  </si>
  <si>
    <t>Patrimônio acumulado ?</t>
  </si>
  <si>
    <t>Dividendos Mensais ?</t>
  </si>
  <si>
    <t>INFORMAÇÕES PESSOAIS</t>
  </si>
  <si>
    <t>Salário</t>
  </si>
  <si>
    <t>Meta</t>
  </si>
  <si>
    <t>Inflação</t>
  </si>
  <si>
    <t>Data Inicio</t>
  </si>
  <si>
    <t>Data Fim</t>
  </si>
  <si>
    <t>Dias no  mês</t>
  </si>
  <si>
    <t>IPCA Diário</t>
  </si>
  <si>
    <t>(IPCA) - Var. % mensal</t>
  </si>
  <si>
    <t>Investimento Inicial</t>
  </si>
  <si>
    <t>INFORMAÇÕES DE MERCADO</t>
  </si>
  <si>
    <t>Qual o valor exato que preciso ter no futuro para meu objetivo?</t>
  </si>
  <si>
    <t>PERFIL</t>
  </si>
  <si>
    <t>TIPO DE FII</t>
  </si>
  <si>
    <t>%</t>
  </si>
  <si>
    <t>Conservador</t>
  </si>
  <si>
    <t>PAPEL</t>
  </si>
  <si>
    <t>TIJOLO</t>
  </si>
  <si>
    <t>HÍBRIDOS</t>
  </si>
  <si>
    <t>FOFs</t>
  </si>
  <si>
    <t>DESENVOLVIMENTO</t>
  </si>
  <si>
    <t>HOTELARIAS</t>
  </si>
  <si>
    <t>Moderado</t>
  </si>
  <si>
    <t>Referência</t>
  </si>
  <si>
    <t>Cenários</t>
  </si>
  <si>
    <t>Otimista</t>
  </si>
  <si>
    <t>Realista</t>
  </si>
  <si>
    <t>Pessimista</t>
  </si>
  <si>
    <t>Anual</t>
  </si>
  <si>
    <t>Mensal</t>
  </si>
  <si>
    <t>Cenário</t>
  </si>
  <si>
    <t>Retorno</t>
  </si>
  <si>
    <t>Aumento de Investimento</t>
  </si>
  <si>
    <t>Sugestão de Investimento (30%)</t>
  </si>
  <si>
    <t>Personalizado</t>
  </si>
  <si>
    <t>Taxa anual personalizada</t>
  </si>
  <si>
    <t>Taxa de Juros Real</t>
  </si>
  <si>
    <t>Questões de Negócio</t>
  </si>
  <si>
    <t>Quanto em 2 Anos ?</t>
  </si>
  <si>
    <t>Quanto em 5 Anos ?</t>
  </si>
  <si>
    <t>Quanto em 10 Anos ?</t>
  </si>
  <si>
    <t>Quanto em 20 Anos ?</t>
  </si>
  <si>
    <t>Quanto em 30 Anos ?</t>
  </si>
  <si>
    <t>PATRIMÔNIO ACUMULADO</t>
  </si>
  <si>
    <t>DIVIDENDOS MENSAIS</t>
  </si>
  <si>
    <t>Escolha seu Perfil</t>
  </si>
  <si>
    <t>Aportes Mensais</t>
  </si>
  <si>
    <t>Percentual Sugerido</t>
  </si>
  <si>
    <t>Valores</t>
  </si>
  <si>
    <t>Arrojado</t>
  </si>
  <si>
    <t>Quanto preciso guardar todo mês para atingir minha meta no prazo?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</si>
</sst>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%"/>
    <numFmt numFmtId="165" formatCode="0.0000%"/>
    <numFmt numFmtId="166" formatCode="0.00000%"/>
    <numFmt numFmtId="167" formatCode="&quot;R$&quot;\ #,##0.00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9"/>
      <color indexed="81"/>
      <name val="Segoe UI"/>
      <charset val="1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6"/>
      <color theme="1"/>
      <name val="Impact"/>
      <family val="2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0"/>
      <name val="Segoe UI"/>
      <family val="2"/>
    </font>
    <font>
      <sz val="11"/>
      <color theme="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7">
    <xf numFmtId="0" fontId="0" fillId="0" borderId="0" xfId="0"/>
    <xf numFmtId="14" fontId="0" fillId="0" borderId="0" xfId="0" applyNumberFormat="1"/>
    <xf numFmtId="10" fontId="0" fillId="0" borderId="0" xfId="3" applyNumberFormat="1" applyFont="1"/>
    <xf numFmtId="165" fontId="0" fillId="0" borderId="0" xfId="3" applyNumberFormat="1" applyFont="1"/>
    <xf numFmtId="166" fontId="0" fillId="0" borderId="0" xfId="3" applyNumberFormat="1" applyFont="1"/>
    <xf numFmtId="0" fontId="0" fillId="2" borderId="0" xfId="0" applyFill="1"/>
    <xf numFmtId="14" fontId="2" fillId="2" borderId="0" xfId="0" applyNumberFormat="1" applyFont="1" applyFill="1"/>
    <xf numFmtId="0" fontId="2" fillId="2" borderId="0" xfId="0" applyFont="1" applyFill="1"/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2" borderId="0" xfId="0" applyFill="1" applyAlignment="1">
      <alignment horizontal="center"/>
    </xf>
    <xf numFmtId="9" fontId="0" fillId="2" borderId="0" xfId="0" applyNumberFormat="1" applyFill="1" applyAlignment="1">
      <alignment horizontal="center"/>
    </xf>
    <xf numFmtId="10" fontId="0" fillId="0" borderId="0" xfId="0" applyNumberFormat="1"/>
    <xf numFmtId="10" fontId="0" fillId="0" borderId="0" xfId="1" applyNumberFormat="1" applyFont="1"/>
    <xf numFmtId="9" fontId="0" fillId="0" borderId="0" xfId="0" applyNumberFormat="1"/>
    <xf numFmtId="9" fontId="0" fillId="0" borderId="0" xfId="3" applyFont="1"/>
    <xf numFmtId="0" fontId="0" fillId="0" borderId="0" xfId="0" applyAlignment="1">
      <alignment horizontal="left"/>
    </xf>
    <xf numFmtId="10" fontId="0" fillId="0" borderId="0" xfId="3" applyNumberFormat="1" applyFont="1" applyFill="1"/>
    <xf numFmtId="10" fontId="0" fillId="5" borderId="2" xfId="3" applyNumberFormat="1" applyFont="1" applyFill="1" applyBorder="1"/>
    <xf numFmtId="164" fontId="0" fillId="5" borderId="2" xfId="3" applyNumberFormat="1" applyFont="1" applyFill="1" applyBorder="1"/>
    <xf numFmtId="10" fontId="0" fillId="5" borderId="9" xfId="3" applyNumberFormat="1" applyFont="1" applyFill="1" applyBorder="1"/>
    <xf numFmtId="0" fontId="0" fillId="5" borderId="10" xfId="0" applyFill="1" applyBorder="1"/>
    <xf numFmtId="10" fontId="0" fillId="5" borderId="14" xfId="3" applyNumberFormat="1" applyFont="1" applyFill="1" applyBorder="1"/>
    <xf numFmtId="164" fontId="0" fillId="5" borderId="14" xfId="3" applyNumberFormat="1" applyFont="1" applyFill="1" applyBorder="1"/>
    <xf numFmtId="0" fontId="3" fillId="0" borderId="0" xfId="0" applyFont="1"/>
    <xf numFmtId="0" fontId="11" fillId="0" borderId="0" xfId="0" applyFont="1" applyAlignment="1">
      <alignment horizontal="left" indent="3"/>
    </xf>
    <xf numFmtId="167" fontId="12" fillId="0" borderId="0" xfId="0" applyNumberFormat="1" applyFont="1" applyAlignment="1">
      <alignment horizontal="center"/>
    </xf>
    <xf numFmtId="0" fontId="0" fillId="7" borderId="13" xfId="0" applyFill="1" applyBorder="1"/>
    <xf numFmtId="0" fontId="10" fillId="7" borderId="18" xfId="0" applyFont="1" applyFill="1" applyBorder="1"/>
    <xf numFmtId="0" fontId="2" fillId="8" borderId="14" xfId="0" applyFont="1" applyFill="1" applyBorder="1"/>
    <xf numFmtId="167" fontId="0" fillId="10" borderId="13" xfId="0" applyNumberFormat="1" applyFill="1" applyBorder="1" applyAlignment="1">
      <alignment horizontal="left"/>
    </xf>
    <xf numFmtId="10" fontId="0" fillId="0" borderId="15" xfId="3" applyNumberFormat="1" applyFont="1" applyBorder="1"/>
    <xf numFmtId="10" fontId="0" fillId="0" borderId="7" xfId="3" applyNumberFormat="1" applyFont="1" applyBorder="1"/>
    <xf numFmtId="0" fontId="0" fillId="5" borderId="19" xfId="0" applyFill="1" applyBorder="1" applyAlignment="1">
      <alignment horizontal="left"/>
    </xf>
    <xf numFmtId="0" fontId="0" fillId="5" borderId="20" xfId="0" applyFill="1" applyBorder="1" applyAlignment="1">
      <alignment horizontal="left"/>
    </xf>
    <xf numFmtId="0" fontId="0" fillId="5" borderId="21" xfId="0" applyFill="1" applyBorder="1" applyAlignment="1">
      <alignment horizontal="left"/>
    </xf>
    <xf numFmtId="167" fontId="0" fillId="5" borderId="22" xfId="0" applyNumberFormat="1" applyFill="1" applyBorder="1" applyAlignment="1">
      <alignment horizontal="center"/>
    </xf>
    <xf numFmtId="167" fontId="0" fillId="5" borderId="20" xfId="0" applyNumberFormat="1" applyFill="1" applyBorder="1" applyAlignment="1">
      <alignment horizontal="center"/>
    </xf>
    <xf numFmtId="167" fontId="0" fillId="5" borderId="23" xfId="0" applyNumberForma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8" fillId="9" borderId="3" xfId="0" applyFont="1" applyFill="1" applyBorder="1" applyAlignment="1">
      <alignment horizontal="center"/>
    </xf>
    <xf numFmtId="0" fontId="8" fillId="9" borderId="4" xfId="0" applyFont="1" applyFill="1" applyBorder="1" applyAlignment="1">
      <alignment horizontal="center"/>
    </xf>
    <xf numFmtId="0" fontId="8" fillId="9" borderId="5" xfId="0" applyFont="1" applyFill="1" applyBorder="1" applyAlignment="1">
      <alignment horizontal="center"/>
    </xf>
    <xf numFmtId="8" fontId="0" fillId="5" borderId="2" xfId="0" applyNumberFormat="1" applyFill="1" applyBorder="1" applyAlignment="1">
      <alignment horizontal="right"/>
    </xf>
    <xf numFmtId="8" fontId="0" fillId="5" borderId="7" xfId="0" applyNumberFormat="1" applyFill="1" applyBorder="1" applyAlignment="1">
      <alignment horizontal="right"/>
    </xf>
    <xf numFmtId="8" fontId="0" fillId="5" borderId="9" xfId="0" applyNumberFormat="1" applyFill="1" applyBorder="1" applyAlignment="1">
      <alignment horizontal="right"/>
    </xf>
    <xf numFmtId="8" fontId="0" fillId="5" borderId="10" xfId="0" applyNumberFormat="1" applyFill="1" applyBorder="1" applyAlignment="1">
      <alignment horizontal="right"/>
    </xf>
    <xf numFmtId="0" fontId="0" fillId="5" borderId="6" xfId="0" applyFill="1" applyBorder="1" applyAlignment="1">
      <alignment horizontal="left" vertical="center"/>
    </xf>
    <xf numFmtId="0" fontId="0" fillId="5" borderId="2" xfId="0" applyFill="1" applyBorder="1" applyAlignment="1">
      <alignment horizontal="left" vertical="center"/>
    </xf>
    <xf numFmtId="0" fontId="0" fillId="5" borderId="6" xfId="0" applyFill="1" applyBorder="1" applyAlignment="1">
      <alignment horizontal="left"/>
    </xf>
    <xf numFmtId="0" fontId="0" fillId="5" borderId="2" xfId="0" applyFill="1" applyBorder="1" applyAlignment="1">
      <alignment horizontal="left"/>
    </xf>
    <xf numFmtId="0" fontId="0" fillId="5" borderId="8" xfId="0" applyFill="1" applyBorder="1" applyAlignment="1">
      <alignment horizontal="left"/>
    </xf>
    <xf numFmtId="0" fontId="0" fillId="5" borderId="9" xfId="0" applyFill="1" applyBorder="1" applyAlignment="1">
      <alignment horizontal="left"/>
    </xf>
    <xf numFmtId="8" fontId="0" fillId="5" borderId="2" xfId="0" applyNumberFormat="1" applyFill="1" applyBorder="1" applyAlignment="1">
      <alignment horizontal="right" vertical="center"/>
    </xf>
    <xf numFmtId="8" fontId="0" fillId="5" borderId="7" xfId="0" applyNumberFormat="1" applyFill="1" applyBorder="1" applyAlignment="1">
      <alignment horizontal="right" vertical="center"/>
    </xf>
    <xf numFmtId="167" fontId="0" fillId="5" borderId="2" xfId="0" applyNumberFormat="1" applyFill="1" applyBorder="1" applyAlignment="1">
      <alignment horizontal="right"/>
    </xf>
    <xf numFmtId="167" fontId="0" fillId="5" borderId="7" xfId="0" applyNumberFormat="1" applyFill="1" applyBorder="1" applyAlignment="1">
      <alignment horizontal="right"/>
    </xf>
    <xf numFmtId="167" fontId="0" fillId="0" borderId="2" xfId="2" applyNumberFormat="1" applyFont="1" applyBorder="1" applyAlignment="1">
      <alignment horizontal="right"/>
    </xf>
    <xf numFmtId="167" fontId="0" fillId="0" borderId="7" xfId="2" applyNumberFormat="1" applyFon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7" xfId="0" applyBorder="1" applyAlignment="1">
      <alignment horizontal="right"/>
    </xf>
    <xf numFmtId="0" fontId="8" fillId="6" borderId="11" xfId="0" applyFont="1" applyFill="1" applyBorder="1" applyAlignment="1">
      <alignment horizontal="center"/>
    </xf>
    <xf numFmtId="0" fontId="8" fillId="6" borderId="12" xfId="0" applyFont="1" applyFill="1" applyBorder="1" applyAlignment="1">
      <alignment horizontal="center"/>
    </xf>
    <xf numFmtId="0" fontId="8" fillId="6" borderId="13" xfId="0" applyFont="1" applyFill="1" applyBorder="1" applyAlignment="1">
      <alignment horizontal="center"/>
    </xf>
    <xf numFmtId="0" fontId="0" fillId="5" borderId="3" xfId="0" applyFill="1" applyBorder="1" applyAlignment="1">
      <alignment horizontal="left"/>
    </xf>
    <xf numFmtId="0" fontId="0" fillId="5" borderId="4" xfId="0" applyFill="1" applyBorder="1" applyAlignment="1">
      <alignment horizontal="left"/>
    </xf>
    <xf numFmtId="0" fontId="9" fillId="7" borderId="16" xfId="0" applyFont="1" applyFill="1" applyBorder="1" applyAlignment="1">
      <alignment horizontal="center"/>
    </xf>
    <xf numFmtId="0" fontId="9" fillId="7" borderId="17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167" fontId="0" fillId="0" borderId="2" xfId="2" applyNumberFormat="1" applyFont="1" applyBorder="1" applyAlignment="1">
      <alignment horizontal="right" vertical="top" readingOrder="1"/>
    </xf>
    <xf numFmtId="167" fontId="0" fillId="0" borderId="7" xfId="2" applyNumberFormat="1" applyFont="1" applyBorder="1" applyAlignment="1">
      <alignment horizontal="right" vertical="top" readingOrder="1"/>
    </xf>
    <xf numFmtId="167" fontId="0" fillId="5" borderId="9" xfId="2" applyNumberFormat="1" applyFont="1" applyFill="1" applyBorder="1" applyAlignment="1">
      <alignment horizontal="right" vertical="top" readingOrder="1"/>
    </xf>
    <xf numFmtId="167" fontId="0" fillId="5" borderId="10" xfId="2" applyNumberFormat="1" applyFont="1" applyFill="1" applyBorder="1" applyAlignment="1">
      <alignment horizontal="right" vertical="top" readingOrder="1"/>
    </xf>
    <xf numFmtId="9" fontId="0" fillId="12" borderId="2" xfId="0" applyNumberFormat="1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2" fillId="10" borderId="4" xfId="0" applyFont="1" applyFill="1" applyBorder="1" applyAlignment="1">
      <alignment horizontal="center"/>
    </xf>
    <xf numFmtId="0" fontId="2" fillId="10" borderId="5" xfId="0" applyFont="1" applyFill="1" applyBorder="1" applyAlignment="1">
      <alignment horizontal="center"/>
    </xf>
    <xf numFmtId="167" fontId="0" fillId="11" borderId="2" xfId="0" applyNumberFormat="1" applyFill="1" applyBorder="1" applyAlignment="1">
      <alignment horizontal="center"/>
    </xf>
    <xf numFmtId="167" fontId="0" fillId="11" borderId="7" xfId="0" applyNumberFormat="1" applyFill="1" applyBorder="1" applyAlignment="1">
      <alignment horizontal="center"/>
    </xf>
    <xf numFmtId="167" fontId="2" fillId="10" borderId="9" xfId="0" applyNumberFormat="1" applyFont="1" applyFill="1" applyBorder="1" applyAlignment="1">
      <alignment horizontal="center"/>
    </xf>
    <xf numFmtId="167" fontId="2" fillId="10" borderId="10" xfId="0" applyNumberFormat="1" applyFont="1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0" borderId="9" xfId="0" applyFont="1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2" fillId="10" borderId="3" xfId="0" applyFont="1" applyFill="1" applyBorder="1" applyAlignment="1">
      <alignment horizontal="center"/>
    </xf>
  </cellXfs>
  <cellStyles count="4">
    <cellStyle name="Moeda" xfId="2" builtinId="4"/>
    <cellStyle name="Normal" xfId="0" builtinId="0"/>
    <cellStyle name="Porcentagem" xfId="3" builtinId="5"/>
    <cellStyle name="Vírgula" xfId="1" builtinId="3"/>
  </cellStyles>
  <dxfs count="15">
    <dxf>
      <font>
        <b val="0"/>
        <i val="0"/>
        <strike val="0"/>
      </font>
      <numFmt numFmtId="168" formatCode=";;;"/>
      <fill>
        <patternFill patternType="none">
          <bgColor auto="1"/>
        </patternFill>
      </fill>
    </dxf>
    <dxf>
      <font>
        <b val="0"/>
        <i val="0"/>
        <strike val="0"/>
      </font>
      <numFmt numFmtId="168" formatCode=";;;"/>
      <fill>
        <patternFill patternType="none">
          <bgColor auto="1"/>
        </patternFill>
      </fill>
    </dxf>
    <dxf>
      <font>
        <b val="0"/>
        <i val="0"/>
        <strike val="0"/>
      </font>
      <numFmt numFmtId="168" formatCode=";;;"/>
      <fill>
        <patternFill patternType="none">
          <bgColor auto="1"/>
        </patternFill>
      </fill>
    </dxf>
    <dxf>
      <font>
        <b val="0"/>
        <i val="0"/>
        <strike val="0"/>
      </font>
      <numFmt numFmtId="168" formatCode=";;;"/>
      <fill>
        <patternFill patternType="none">
          <bgColor auto="1"/>
        </patternFill>
      </fill>
    </dxf>
    <dxf>
      <font>
        <b val="0"/>
        <i val="0"/>
        <strike val="0"/>
      </font>
      <numFmt numFmtId="168" formatCode=";;;"/>
      <fill>
        <patternFill patternType="none">
          <bgColor auto="1"/>
        </patternFill>
      </fill>
    </dxf>
    <dxf>
      <font>
        <b val="0"/>
        <i val="0"/>
        <strike val="0"/>
      </font>
      <numFmt numFmtId="168" formatCode=";;;"/>
      <fill>
        <patternFill patternType="none">
          <bgColor auto="1"/>
        </patternFill>
      </fill>
    </dxf>
    <dxf>
      <font>
        <b val="0"/>
        <i val="0"/>
        <strike val="0"/>
      </font>
      <numFmt numFmtId="168" formatCode=";;;"/>
      <fill>
        <patternFill patternType="none">
          <bgColor auto="1"/>
        </patternFill>
      </fill>
    </dxf>
    <dxf>
      <font>
        <b val="0"/>
        <i val="0"/>
        <strike val="0"/>
      </font>
      <numFmt numFmtId="168" formatCode=";;;"/>
      <fill>
        <patternFill patternType="none">
          <bgColor auto="1"/>
        </patternFill>
      </fill>
    </dxf>
    <dxf>
      <font>
        <b val="0"/>
        <i val="0"/>
        <strike val="0"/>
      </font>
      <numFmt numFmtId="168" formatCode=";;;"/>
      <fill>
        <patternFill patternType="none">
          <bgColor auto="1"/>
        </patternFill>
      </fill>
    </dxf>
    <dxf>
      <font>
        <b val="0"/>
        <i val="0"/>
        <strike val="0"/>
      </font>
      <numFmt numFmtId="168" formatCode=";;;"/>
      <fill>
        <patternFill patternType="none">
          <bgColor auto="1"/>
        </patternFill>
      </fill>
    </dxf>
    <dxf>
      <font>
        <b val="0"/>
        <i val="0"/>
        <strike val="0"/>
      </font>
      <numFmt numFmtId="168" formatCode=";;;"/>
      <fill>
        <patternFill patternType="none">
          <bgColor auto="1"/>
        </patternFill>
      </fill>
    </dxf>
    <dxf>
      <font>
        <b val="0"/>
        <i val="0"/>
        <strike val="0"/>
      </font>
      <numFmt numFmtId="168" formatCode=";;;"/>
      <fill>
        <patternFill patternType="none">
          <bgColor auto="1"/>
        </patternFill>
      </fill>
    </dxf>
    <dxf>
      <font>
        <b val="0"/>
        <i val="0"/>
        <strike val="0"/>
      </font>
      <numFmt numFmtId="168" formatCode=";;;"/>
      <fill>
        <patternFill patternType="none">
          <bgColor auto="1"/>
        </patternFill>
      </fill>
    </dxf>
    <dxf>
      <font>
        <b val="0"/>
        <i val="0"/>
        <strike val="0"/>
      </font>
      <numFmt numFmtId="168" formatCode=";;;"/>
      <fill>
        <patternFill patternType="none">
          <bgColor auto="1"/>
        </patternFill>
      </fill>
    </dxf>
    <dxf>
      <font>
        <b val="0"/>
        <i val="0"/>
        <strike val="0"/>
      </font>
      <numFmt numFmtId="168" formatCode=";;;"/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PATRIMÔNIO</a:t>
            </a:r>
            <a:r>
              <a:rPr lang="pt-BR" baseline="0"/>
              <a:t> ACUMULADO</a:t>
            </a:r>
            <a:endParaRPr lang="pt-BR"/>
          </a:p>
        </c:rich>
      </c:tx>
      <c:layout>
        <c:manualLayout>
          <c:xMode val="edge"/>
          <c:yMode val="edge"/>
          <c:x val="0.1881807694392183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2930186823992137E-2"/>
          <c:y val="0.15782407407407409"/>
          <c:w val="0.91347099311701085"/>
          <c:h val="0.67040135608048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AD-4DEE-A96C-A66E195D8EF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AD-4DEE-A96C-A66E195D8EF8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AD-4DEE-A96C-A66E195D8EF8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AD-4DEE-A96C-A66E195D8EF8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BAD-4DEE-A96C-A66E195D8E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'Calculadora de Investimento'!$L$24:$L$28</c:f>
              <c:strCache>
                <c:ptCount val="5"/>
                <c:pt idx="0">
                  <c:v>Quanto em 2 Anos ?</c:v>
                </c:pt>
                <c:pt idx="1">
                  <c:v>Quanto em 5 Anos ?</c:v>
                </c:pt>
                <c:pt idx="2">
                  <c:v>Quanto em 10 Anos ?</c:v>
                </c:pt>
                <c:pt idx="3">
                  <c:v>Quanto em 20 Anos ?</c:v>
                </c:pt>
                <c:pt idx="4">
                  <c:v>Quanto em 30 Anos ?</c:v>
                </c:pt>
              </c:strCache>
            </c:strRef>
          </c:cat>
          <c:val>
            <c:numRef>
              <c:f>'Calculadora de Investimento'!$M$24:$M$28</c:f>
              <c:numCache>
                <c:formatCode>"R$"\ #,##0.00</c:formatCode>
                <c:ptCount val="5"/>
                <c:pt idx="0">
                  <c:v>38793.725819207648</c:v>
                </c:pt>
                <c:pt idx="1">
                  <c:v>109416.97554468281</c:v>
                </c:pt>
                <c:pt idx="2">
                  <c:v>270186.40979102423</c:v>
                </c:pt>
                <c:pt idx="3">
                  <c:v>853498.60381225415</c:v>
                </c:pt>
                <c:pt idx="4">
                  <c:v>2112825.88069872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AD-4DEE-A96C-A66E195D8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1266335"/>
        <c:axId val="921264895"/>
      </c:barChart>
      <c:catAx>
        <c:axId val="92126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1264895"/>
        <c:crosses val="autoZero"/>
        <c:auto val="1"/>
        <c:lblAlgn val="ctr"/>
        <c:lblOffset val="100"/>
        <c:noMultiLvlLbl val="0"/>
      </c:catAx>
      <c:valAx>
        <c:axId val="921264895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92126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DIVIDENDOS MENSAIS</a:t>
            </a:r>
          </a:p>
        </c:rich>
      </c:tx>
      <c:layout>
        <c:manualLayout>
          <c:xMode val="edge"/>
          <c:yMode val="edge"/>
          <c:x val="0.2077576424212863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9534511591793666E-2"/>
          <c:y val="0.1717130462549748"/>
          <c:w val="0.89971511771270063"/>
          <c:h val="0.6195446923301254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4E9-4422-8B48-945B10D7FBD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E9-4422-8B48-945B10D7FBDE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E9-4422-8B48-945B10D7FBDE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E9-4422-8B48-945B10D7FBDE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4E9-4422-8B48-945B10D7FB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'Calculadora de Investimento'!$L$31:$L$35</c:f>
              <c:strCache>
                <c:ptCount val="5"/>
                <c:pt idx="0">
                  <c:v>Quanto em 2 Anos ?</c:v>
                </c:pt>
                <c:pt idx="1">
                  <c:v>Quanto em 5 Anos ?</c:v>
                </c:pt>
                <c:pt idx="2">
                  <c:v>Quanto em 10 Anos ?</c:v>
                </c:pt>
                <c:pt idx="3">
                  <c:v>Quanto em 20 Anos ?</c:v>
                </c:pt>
                <c:pt idx="4">
                  <c:v>Quanto em 30 Anos ?</c:v>
                </c:pt>
              </c:strCache>
            </c:strRef>
          </c:cat>
          <c:val>
            <c:numRef>
              <c:f>'Calculadora de Investimento'!$M$31:$M$35</c:f>
              <c:numCache>
                <c:formatCode>"R$"\ #,##0.00</c:formatCode>
                <c:ptCount val="5"/>
                <c:pt idx="0">
                  <c:v>249.59999999999948</c:v>
                </c:pt>
                <c:pt idx="1">
                  <c:v>703.99211519999812</c:v>
                </c:pt>
                <c:pt idx="2">
                  <c:v>1738.3874959091754</c:v>
                </c:pt>
                <c:pt idx="3">
                  <c:v>5491.4357157739314</c:v>
                </c:pt>
                <c:pt idx="4">
                  <c:v>13593.98533361008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E9-4422-8B48-945B10D7F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9105359"/>
        <c:axId val="729110639"/>
      </c:barChart>
      <c:catAx>
        <c:axId val="729105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9110639"/>
        <c:crosses val="autoZero"/>
        <c:auto val="1"/>
        <c:lblAlgn val="ctr"/>
        <c:lblOffset val="100"/>
        <c:noMultiLvlLbl val="0"/>
      </c:catAx>
      <c:valAx>
        <c:axId val="729110639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729105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85724</xdr:rowOff>
    </xdr:from>
    <xdr:to>
      <xdr:col>9</xdr:col>
      <xdr:colOff>209550</xdr:colOff>
      <xdr:row>13</xdr:row>
      <xdr:rowOff>133350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CC4135-87D8-3484-6396-150AF281C7F0}"/>
            </a:ext>
          </a:extLst>
        </xdr:cNvPr>
        <xdr:cNvSpPr/>
      </xdr:nvSpPr>
      <xdr:spPr>
        <a:xfrm>
          <a:off x="219075" y="85724"/>
          <a:ext cx="9353550" cy="25241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85724</xdr:colOff>
      <xdr:row>0</xdr:row>
      <xdr:rowOff>96711</xdr:rowOff>
    </xdr:from>
    <xdr:to>
      <xdr:col>8</xdr:col>
      <xdr:colOff>600075</xdr:colOff>
      <xdr:row>13</xdr:row>
      <xdr:rowOff>142875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2361D7F7-1DBF-7A35-D634-61F65B36B37B}"/>
            </a:ext>
          </a:extLst>
        </xdr:cNvPr>
        <xdr:cNvGrpSpPr/>
      </xdr:nvGrpSpPr>
      <xdr:grpSpPr>
        <a:xfrm>
          <a:off x="695324" y="96711"/>
          <a:ext cx="8658226" cy="2522664"/>
          <a:chOff x="1828799" y="182436"/>
          <a:chExt cx="7105651" cy="238931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D247362F-8040-B792-1BD7-CCB893055CB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877" t="3500" r="10386" b="5999"/>
          <a:stretch>
            <a:fillRect/>
          </a:stretch>
        </xdr:blipFill>
        <xdr:spPr>
          <a:xfrm>
            <a:off x="1828799" y="182436"/>
            <a:ext cx="3181351" cy="2389313"/>
          </a:xfrm>
          <a:prstGeom prst="rect">
            <a:avLst/>
          </a:prstGeom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C73FF633-6AF6-8C67-AB4A-A2D459C337A9}"/>
              </a:ext>
            </a:extLst>
          </xdr:cNvPr>
          <xdr:cNvSpPr txBox="1"/>
        </xdr:nvSpPr>
        <xdr:spPr>
          <a:xfrm>
            <a:off x="5915024" y="495300"/>
            <a:ext cx="2486025" cy="952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800" b="0" i="0">
                <a:solidFill>
                  <a:schemeClr val="accent2"/>
                </a:solidFill>
                <a:effectLst/>
                <a:latin typeface="Bodoni MT Black" panose="02070A03080606020203" pitchFamily="18" charset="0"/>
                <a:ea typeface="+mn-ea"/>
                <a:cs typeface="+mn-cs"/>
              </a:rPr>
              <a:t>MetaInvest Planner</a:t>
            </a:r>
            <a:endParaRPr lang="pt-BR" sz="2800">
              <a:solidFill>
                <a:schemeClr val="accent2"/>
              </a:solidFill>
              <a:latin typeface="Bodoni MT Black" panose="02070A03080606020203" pitchFamily="18" charset="0"/>
            </a:endParaRPr>
          </a:p>
        </xdr:txBody>
      </xdr:sp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D708DF7B-0FF9-BFC8-FD89-7FE20E7B4F48}"/>
              </a:ext>
            </a:extLst>
          </xdr:cNvPr>
          <xdr:cNvSpPr txBox="1"/>
        </xdr:nvSpPr>
        <xdr:spPr>
          <a:xfrm>
            <a:off x="5543550" y="1628775"/>
            <a:ext cx="3390900" cy="600075"/>
          </a:xfrm>
          <a:prstGeom prst="rect">
            <a:avLst/>
          </a:prstGeom>
          <a:gradFill flip="none" rotWithShape="1">
            <a:gsLst>
              <a:gs pos="0">
                <a:schemeClr val="accent2">
                  <a:lumMod val="67000"/>
                </a:scheme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0" i="0">
                <a:solidFill>
                  <a:srgbClr val="002060"/>
                </a:solidFill>
                <a:effectLst/>
                <a:latin typeface="Bauhaus 93" panose="04030905020B02020C02" pitchFamily="82" charset="0"/>
                <a:ea typeface="+mn-ea"/>
                <a:cs typeface="+mn-cs"/>
              </a:rPr>
              <a:t>Seu plano personalizado para alcançar a independência financeira.</a:t>
            </a:r>
            <a:endParaRPr lang="pt-BR" sz="1200">
              <a:solidFill>
                <a:srgbClr val="002060"/>
              </a:solidFill>
              <a:latin typeface="Bauhaus 93" panose="04030905020B02020C02" pitchFamily="82" charset="0"/>
            </a:endParaRPr>
          </a:p>
        </xdr:txBody>
      </xdr:sp>
    </xdr:grpSp>
    <xdr:clientData/>
  </xdr:twoCellAnchor>
  <xdr:twoCellAnchor>
    <xdr:from>
      <xdr:col>8</xdr:col>
      <xdr:colOff>257175</xdr:colOff>
      <xdr:row>23</xdr:row>
      <xdr:rowOff>152400</xdr:rowOff>
    </xdr:from>
    <xdr:to>
      <xdr:col>11</xdr:col>
      <xdr:colOff>1657350</xdr:colOff>
      <xdr:row>34</xdr:row>
      <xdr:rowOff>419100</xdr:rowOff>
    </xdr:to>
    <xdr:graphicFrame macro="">
      <xdr:nvGraphicFramePr>
        <xdr:cNvPr id="4" name="Grafico 3" hidden="1">
          <a:extLst>
            <a:ext uri="{FF2B5EF4-FFF2-40B4-BE49-F238E27FC236}">
              <a16:creationId xmlns:a16="http://schemas.microsoft.com/office/drawing/2014/main" id="{C237A544-B11A-2858-B660-ECA88CE8D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280987</xdr:colOff>
      <xdr:row>35</xdr:row>
      <xdr:rowOff>19050</xdr:rowOff>
    </xdr:from>
    <xdr:to>
      <xdr:col>11</xdr:col>
      <xdr:colOff>1666875</xdr:colOff>
      <xdr:row>52</xdr:row>
      <xdr:rowOff>133350</xdr:rowOff>
    </xdr:to>
    <xdr:graphicFrame macro="">
      <xdr:nvGraphicFramePr>
        <xdr:cNvPr id="5" name="Grafico 4" hidden="1">
          <a:extLst>
            <a:ext uri="{FF2B5EF4-FFF2-40B4-BE49-F238E27FC236}">
              <a16:creationId xmlns:a16="http://schemas.microsoft.com/office/drawing/2014/main" id="{797D69D6-0BA6-CDA7-2019-95D4679CC6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7</xdr:col>
          <xdr:colOff>1600200</xdr:colOff>
          <xdr:row>36</xdr:row>
          <xdr:rowOff>28575</xdr:rowOff>
        </xdr:to>
        <xdr:sp macro="" textlink="">
          <xdr:nvSpPr>
            <xdr:cNvPr id="1062" name="Label2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2638425</xdr:colOff>
          <xdr:row>34</xdr:row>
          <xdr:rowOff>9525</xdr:rowOff>
        </xdr:from>
        <xdr:to>
          <xdr:col>7</xdr:col>
          <xdr:colOff>1609725</xdr:colOff>
          <xdr:row>34</xdr:row>
          <xdr:rowOff>447675</xdr:rowOff>
        </xdr:to>
        <xdr:sp macro="" textlink="">
          <xdr:nvSpPr>
            <xdr:cNvPr id="1061" name="Label1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35</xdr:row>
          <xdr:rowOff>152400</xdr:rowOff>
        </xdr:from>
        <xdr:to>
          <xdr:col>7</xdr:col>
          <xdr:colOff>1552575</xdr:colOff>
          <xdr:row>35</xdr:row>
          <xdr:rowOff>314325</xdr:rowOff>
        </xdr:to>
        <xdr:sp macro="" textlink="">
          <xdr:nvSpPr>
            <xdr:cNvPr id="1064" name="Label4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34</xdr:row>
          <xdr:rowOff>114300</xdr:rowOff>
        </xdr:from>
        <xdr:to>
          <xdr:col>7</xdr:col>
          <xdr:colOff>1419225</xdr:colOff>
          <xdr:row>34</xdr:row>
          <xdr:rowOff>342900</xdr:rowOff>
        </xdr:to>
        <xdr:sp macro="" textlink="">
          <xdr:nvSpPr>
            <xdr:cNvPr id="1063" name="Label3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mments" Target="../comments1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E9D27-4BDD-43A1-8CF2-45585F43C8D1}">
  <sheetPr codeName="Planilha1"/>
  <dimension ref="B15:M54"/>
  <sheetViews>
    <sheetView tabSelected="1" topLeftCell="A25" workbookViewId="0">
      <selection activeCell="L37" sqref="L37"/>
    </sheetView>
  </sheetViews>
  <sheetFormatPr defaultRowHeight="15" x14ac:dyDescent="0.25"/>
  <cols>
    <col min="5" max="5" width="39.7109375" customWidth="1"/>
    <col min="6" max="6" width="21.5703125" bestFit="1" customWidth="1"/>
    <col min="8" max="8" width="24.28515625" bestFit="1" customWidth="1"/>
    <col min="12" max="12" width="27.140625" bestFit="1" customWidth="1"/>
    <col min="13" max="13" width="14.140625" bestFit="1" customWidth="1"/>
  </cols>
  <sheetData>
    <row r="15" spans="2:8" ht="15.75" thickBot="1" x14ac:dyDescent="0.3"/>
    <row r="16" spans="2:8" ht="26.25" customHeight="1" x14ac:dyDescent="0.25">
      <c r="B16" s="73" t="s">
        <v>4</v>
      </c>
      <c r="C16" s="74"/>
      <c r="D16" s="74"/>
      <c r="E16" s="74"/>
      <c r="F16" s="74"/>
      <c r="G16" s="74"/>
      <c r="H16" s="75"/>
    </row>
    <row r="17" spans="2:13" x14ac:dyDescent="0.25">
      <c r="B17" s="54" t="s">
        <v>5</v>
      </c>
      <c r="C17" s="55"/>
      <c r="D17" s="55"/>
      <c r="E17" s="55"/>
      <c r="F17" s="76">
        <v>5000</v>
      </c>
      <c r="G17" s="76"/>
      <c r="H17" s="77"/>
    </row>
    <row r="18" spans="2:13" x14ac:dyDescent="0.25">
      <c r="B18" s="54" t="s">
        <v>13</v>
      </c>
      <c r="C18" s="55"/>
      <c r="D18" s="55"/>
      <c r="E18" s="55"/>
      <c r="F18" s="76">
        <v>0</v>
      </c>
      <c r="G18" s="76"/>
      <c r="H18" s="77"/>
    </row>
    <row r="19" spans="2:13" x14ac:dyDescent="0.25">
      <c r="B19" s="54" t="s">
        <v>6</v>
      </c>
      <c r="C19" s="55"/>
      <c r="D19" s="55"/>
      <c r="E19" s="55"/>
      <c r="F19" s="76">
        <v>500000</v>
      </c>
      <c r="G19" s="76"/>
      <c r="H19" s="77"/>
    </row>
    <row r="20" spans="2:13" ht="15.75" thickBot="1" x14ac:dyDescent="0.3">
      <c r="B20" s="56" t="s">
        <v>37</v>
      </c>
      <c r="C20" s="57"/>
      <c r="D20" s="57"/>
      <c r="E20" s="57"/>
      <c r="F20" s="78">
        <f>F17*30%</f>
        <v>1500</v>
      </c>
      <c r="G20" s="78"/>
      <c r="H20" s="79"/>
    </row>
    <row r="22" spans="2:13" ht="15.75" thickBot="1" x14ac:dyDescent="0.3"/>
    <row r="23" spans="2:13" ht="19.5" thickBot="1" x14ac:dyDescent="0.35">
      <c r="B23" s="71" t="s">
        <v>34</v>
      </c>
      <c r="C23" s="72"/>
      <c r="D23" s="72"/>
      <c r="E23" s="33" t="s">
        <v>38</v>
      </c>
      <c r="L23" s="44" t="s">
        <v>47</v>
      </c>
      <c r="M23" s="44"/>
    </row>
    <row r="24" spans="2:13" ht="21.75" thickBot="1" x14ac:dyDescent="0.35">
      <c r="B24" s="66" t="s">
        <v>14</v>
      </c>
      <c r="C24" s="67"/>
      <c r="D24" s="67"/>
      <c r="E24" s="67"/>
      <c r="F24" s="67"/>
      <c r="G24" s="67"/>
      <c r="H24" s="68"/>
      <c r="K24" s="29">
        <v>2</v>
      </c>
      <c r="L24" s="30" t="s">
        <v>42</v>
      </c>
      <c r="M24" s="31">
        <f>FV($G$26,K24*12,$F$33,$F$18,0)*-1</f>
        <v>38793.725819207648</v>
      </c>
    </row>
    <row r="25" spans="2:13" ht="18" thickBot="1" x14ac:dyDescent="0.35">
      <c r="F25" s="34" t="s">
        <v>32</v>
      </c>
      <c r="G25" s="34" t="s">
        <v>33</v>
      </c>
      <c r="H25" s="34" t="s">
        <v>39</v>
      </c>
      <c r="K25" s="29">
        <v>5</v>
      </c>
      <c r="L25" s="30" t="s">
        <v>43</v>
      </c>
      <c r="M25" s="31">
        <f>FV($G$26,K25*12,$F$33,$F$18,0)*-1</f>
        <v>109416.97554468281</v>
      </c>
    </row>
    <row r="26" spans="2:13" ht="17.25" x14ac:dyDescent="0.3">
      <c r="B26" s="69" t="s">
        <v>35</v>
      </c>
      <c r="C26" s="70"/>
      <c r="D26" s="70"/>
      <c r="E26" s="70"/>
      <c r="F26" s="27">
        <f>VLOOKUP($E$23&amp; "-"&amp; $B$26,'Planilha Base'!F2:J14,5,FALSE)</f>
        <v>0.08</v>
      </c>
      <c r="G26" s="28">
        <f>((1+F26)^(1/12))-1</f>
        <v>6.4340301100034303E-3</v>
      </c>
      <c r="H26" s="36">
        <v>0.08</v>
      </c>
      <c r="K26" s="29">
        <v>10</v>
      </c>
      <c r="L26" s="30" t="s">
        <v>44</v>
      </c>
      <c r="M26" s="31">
        <f>FV($G$26,K26*12,$F$33,$F$18,0)*-1</f>
        <v>270186.40979102423</v>
      </c>
    </row>
    <row r="27" spans="2:13" ht="17.25" x14ac:dyDescent="0.3">
      <c r="B27" s="54" t="s">
        <v>7</v>
      </c>
      <c r="C27" s="55"/>
      <c r="D27" s="55"/>
      <c r="E27" s="55"/>
      <c r="F27" s="23">
        <f>VLOOKUP($E$23&amp; "-"&amp; $B$27,'Planilha Base'!F2:J14,5,FALSE)</f>
        <v>0</v>
      </c>
      <c r="G27" s="24">
        <f>((1+F27)^(1/12))-1</f>
        <v>0</v>
      </c>
      <c r="H27" s="37">
        <v>0</v>
      </c>
      <c r="K27" s="29">
        <v>20</v>
      </c>
      <c r="L27" s="30" t="s">
        <v>45</v>
      </c>
      <c r="M27" s="31">
        <f>FV($G$26,K27*12,$F$33,$F$18,0)*-1</f>
        <v>853498.60381225415</v>
      </c>
    </row>
    <row r="28" spans="2:13" ht="17.25" x14ac:dyDescent="0.3">
      <c r="B28" s="54" t="s">
        <v>36</v>
      </c>
      <c r="C28" s="55"/>
      <c r="D28" s="55"/>
      <c r="E28" s="55"/>
      <c r="F28" s="23">
        <f>VLOOKUP($E$23&amp; "-"&amp; $B$28,'Planilha Base'!F2:J14,5,FALSE)</f>
        <v>5.0000000000000001E-3</v>
      </c>
      <c r="G28" s="24">
        <f>((1+F28)^(1/12))-1</f>
        <v>4.1571484472902043E-4</v>
      </c>
      <c r="H28" s="37">
        <v>5.0000000000000001E-3</v>
      </c>
      <c r="K28" s="29">
        <v>30</v>
      </c>
      <c r="L28" s="30" t="s">
        <v>46</v>
      </c>
      <c r="M28" s="31">
        <f>FV($G$26,K28*12,$F$33,$F$18,0)*-1</f>
        <v>2112825.88069872</v>
      </c>
    </row>
    <row r="29" spans="2:13" ht="15.75" thickBot="1" x14ac:dyDescent="0.3">
      <c r="B29" s="56" t="s">
        <v>40</v>
      </c>
      <c r="C29" s="57"/>
      <c r="D29" s="57"/>
      <c r="E29" s="57"/>
      <c r="F29" s="25">
        <f>((1+G29)^12)-1</f>
        <v>7.9999999999999849E-2</v>
      </c>
      <c r="G29" s="25">
        <f>G26-G27</f>
        <v>6.4340301100034303E-3</v>
      </c>
      <c r="H29" s="26"/>
      <c r="K29" s="29"/>
      <c r="L29" s="29"/>
      <c r="M29" s="29"/>
    </row>
    <row r="30" spans="2:13" x14ac:dyDescent="0.25">
      <c r="B30" s="21"/>
      <c r="C30" s="21"/>
      <c r="D30" s="21"/>
      <c r="E30" s="21"/>
      <c r="F30" s="22"/>
      <c r="G30" s="22"/>
      <c r="K30" s="29">
        <v>2</v>
      </c>
      <c r="L30" s="44" t="s">
        <v>48</v>
      </c>
      <c r="M30" s="44"/>
    </row>
    <row r="31" spans="2:13" ht="18" thickBot="1" x14ac:dyDescent="0.35">
      <c r="B31" s="21"/>
      <c r="C31" s="21"/>
      <c r="D31" s="21"/>
      <c r="E31" s="21"/>
      <c r="F31" s="22"/>
      <c r="G31" s="22"/>
      <c r="K31" s="29">
        <v>5</v>
      </c>
      <c r="L31" s="30" t="s">
        <v>42</v>
      </c>
      <c r="M31" s="31">
        <f>M24*$G$26</f>
        <v>249.59999999999948</v>
      </c>
    </row>
    <row r="32" spans="2:13" ht="21" x14ac:dyDescent="0.3">
      <c r="B32" s="45" t="s">
        <v>41</v>
      </c>
      <c r="C32" s="46"/>
      <c r="D32" s="46"/>
      <c r="E32" s="46"/>
      <c r="F32" s="46"/>
      <c r="G32" s="46"/>
      <c r="H32" s="47"/>
      <c r="K32" s="29">
        <v>10</v>
      </c>
      <c r="L32" s="30" t="s">
        <v>43</v>
      </c>
      <c r="M32" s="31">
        <f>M25*$G$26</f>
        <v>703.99211519999812</v>
      </c>
    </row>
    <row r="33" spans="2:13" ht="17.25" x14ac:dyDescent="0.3">
      <c r="B33" s="54" t="s">
        <v>0</v>
      </c>
      <c r="C33" s="55"/>
      <c r="D33" s="55"/>
      <c r="E33" s="55"/>
      <c r="F33" s="62">
        <v>1500</v>
      </c>
      <c r="G33" s="62"/>
      <c r="H33" s="63"/>
      <c r="K33" s="29">
        <v>20</v>
      </c>
      <c r="L33" s="30" t="s">
        <v>44</v>
      </c>
      <c r="M33" s="31">
        <f>M26*$G$26</f>
        <v>1738.3874959091754</v>
      </c>
    </row>
    <row r="34" spans="2:13" ht="17.25" x14ac:dyDescent="0.3">
      <c r="B34" s="54" t="s">
        <v>1</v>
      </c>
      <c r="C34" s="55"/>
      <c r="D34" s="55"/>
      <c r="E34" s="55"/>
      <c r="F34" s="64">
        <v>10</v>
      </c>
      <c r="G34" s="64"/>
      <c r="H34" s="65"/>
      <c r="K34" s="29">
        <v>30</v>
      </c>
      <c r="L34" s="30" t="s">
        <v>45</v>
      </c>
      <c r="M34" s="31">
        <f>M27*$G$26</f>
        <v>5491.4357157739314</v>
      </c>
    </row>
    <row r="35" spans="2:13" ht="36" customHeight="1" x14ac:dyDescent="0.3">
      <c r="B35" s="52" t="s">
        <v>2</v>
      </c>
      <c r="C35" s="53"/>
      <c r="D35" s="53"/>
      <c r="E35" s="53"/>
      <c r="F35" s="58">
        <f>FV(G29,F34*12,F33,F18,0)*-1</f>
        <v>270186.40979102423</v>
      </c>
      <c r="G35" s="58"/>
      <c r="H35" s="59"/>
      <c r="L35" s="30" t="s">
        <v>46</v>
      </c>
      <c r="M35" s="31">
        <f>M28*$G$26</f>
        <v>13593.98533361008</v>
      </c>
    </row>
    <row r="36" spans="2:13" ht="33" customHeight="1" x14ac:dyDescent="0.25">
      <c r="B36" s="52" t="s">
        <v>3</v>
      </c>
      <c r="C36" s="53"/>
      <c r="D36" s="53"/>
      <c r="E36" s="53"/>
      <c r="F36" s="58">
        <f>F35*G26</f>
        <v>1738.3874959091754</v>
      </c>
      <c r="G36" s="58"/>
      <c r="H36" s="59"/>
    </row>
    <row r="37" spans="2:13" x14ac:dyDescent="0.25">
      <c r="B37" s="54" t="s">
        <v>15</v>
      </c>
      <c r="C37" s="55"/>
      <c r="D37" s="55"/>
      <c r="E37" s="55"/>
      <c r="F37" s="60">
        <f>F19*(1+F27)^F34</f>
        <v>500000</v>
      </c>
      <c r="G37" s="60"/>
      <c r="H37" s="61"/>
    </row>
    <row r="38" spans="2:13" x14ac:dyDescent="0.25">
      <c r="B38" s="38" t="str">
        <f>"Meu plano de guardar R$ "&amp; TEXT(F33,"###.###,00") &amp;" por mês é suficiente para a meta?"</f>
        <v>Meu plano de guardar R$ 1.500,00 por mês é suficiente para a meta?</v>
      </c>
      <c r="C38" s="39"/>
      <c r="D38" s="39"/>
      <c r="E38" s="40"/>
      <c r="F38" s="41" t="str">
        <f>IF(F35&gt;=F37,"Sim, suficiente!", "Não, ajuste necessário")</f>
        <v>Não, ajuste necessário</v>
      </c>
      <c r="G38" s="42"/>
      <c r="H38" s="43"/>
    </row>
    <row r="39" spans="2:13" x14ac:dyDescent="0.25">
      <c r="B39" s="54" t="s">
        <v>54</v>
      </c>
      <c r="C39" s="55"/>
      <c r="D39" s="55"/>
      <c r="E39" s="55"/>
      <c r="F39" s="48">
        <f>PMT(G29,F34*12,-F18,F37,0)*-1</f>
        <v>2775.8613047195449</v>
      </c>
      <c r="G39" s="48"/>
      <c r="H39" s="49"/>
    </row>
    <row r="40" spans="2:13" ht="15.75" thickBot="1" x14ac:dyDescent="0.3">
      <c r="B40" s="56" t="str">
        <f>"E se eu aumentar meus aportes em "&amp; TEXT(F28,"0,00%") &amp;" todo ano?"</f>
        <v>E se eu aumentar meus aportes em 0,50% todo ano?</v>
      </c>
      <c r="C40" s="57"/>
      <c r="D40" s="57"/>
      <c r="E40" s="57"/>
      <c r="F40" s="50">
        <f>F33*(1+F28)^(F34-1)</f>
        <v>1568.865868717596</v>
      </c>
      <c r="G40" s="50"/>
      <c r="H40" s="51"/>
    </row>
    <row r="43" spans="2:13" ht="15.75" thickBot="1" x14ac:dyDescent="0.3"/>
    <row r="44" spans="2:13" ht="15.75" thickBot="1" x14ac:dyDescent="0.3">
      <c r="B44" s="92" t="s">
        <v>49</v>
      </c>
      <c r="C44" s="93"/>
      <c r="D44" s="93"/>
      <c r="E44" s="32" t="s">
        <v>53</v>
      </c>
    </row>
    <row r="45" spans="2:13" ht="15.75" thickBot="1" x14ac:dyDescent="0.3">
      <c r="B45" s="94" t="s">
        <v>50</v>
      </c>
      <c r="C45" s="95"/>
      <c r="D45" s="95"/>
      <c r="E45" s="35">
        <f>F33</f>
        <v>1500</v>
      </c>
    </row>
    <row r="46" spans="2:13" ht="15.75" thickBot="1" x14ac:dyDescent="0.3"/>
    <row r="47" spans="2:13" x14ac:dyDescent="0.25">
      <c r="B47" s="96" t="s">
        <v>17</v>
      </c>
      <c r="C47" s="82"/>
      <c r="D47" s="82"/>
      <c r="E47" s="82" t="s">
        <v>51</v>
      </c>
      <c r="F47" s="82"/>
      <c r="G47" s="82" t="s">
        <v>52</v>
      </c>
      <c r="H47" s="83"/>
    </row>
    <row r="48" spans="2:13" x14ac:dyDescent="0.25">
      <c r="B48" s="88" t="str">
        <f>'Planilha Base'!C3</f>
        <v>PAPEL</v>
      </c>
      <c r="C48" s="89"/>
      <c r="D48" s="89"/>
      <c r="E48" s="80">
        <f>VLOOKUP($E$44&amp;"-"&amp;B48,'Planilha Base'!$A$2:$D$20,4,0)</f>
        <v>0.5</v>
      </c>
      <c r="F48" s="80"/>
      <c r="G48" s="84">
        <f t="shared" ref="G48:G53" si="0">$E$45*E48</f>
        <v>750</v>
      </c>
      <c r="H48" s="85"/>
    </row>
    <row r="49" spans="2:8" x14ac:dyDescent="0.25">
      <c r="B49" s="88" t="str">
        <f>'Planilha Base'!C4</f>
        <v>TIJOLO</v>
      </c>
      <c r="C49" s="89"/>
      <c r="D49" s="89"/>
      <c r="E49" s="80">
        <f>VLOOKUP($E$44&amp;"-"&amp;B49,'Planilha Base'!$A$2:$D$20,4,0)</f>
        <v>0.1</v>
      </c>
      <c r="F49" s="80"/>
      <c r="G49" s="84">
        <f t="shared" si="0"/>
        <v>150</v>
      </c>
      <c r="H49" s="85"/>
    </row>
    <row r="50" spans="2:8" x14ac:dyDescent="0.25">
      <c r="B50" s="88" t="str">
        <f>'Planilha Base'!C5</f>
        <v>HÍBRIDOS</v>
      </c>
      <c r="C50" s="89"/>
      <c r="D50" s="89"/>
      <c r="E50" s="80">
        <f>VLOOKUP($E$44&amp;"-"&amp;B50,'Planilha Base'!$A$2:$D$20,4,0)</f>
        <v>0.05</v>
      </c>
      <c r="F50" s="80"/>
      <c r="G50" s="84">
        <f t="shared" si="0"/>
        <v>75</v>
      </c>
      <c r="H50" s="85"/>
    </row>
    <row r="51" spans="2:8" x14ac:dyDescent="0.25">
      <c r="B51" s="88" t="str">
        <f>'Planilha Base'!C6</f>
        <v>FOFs</v>
      </c>
      <c r="C51" s="89"/>
      <c r="D51" s="89"/>
      <c r="E51" s="80">
        <f>VLOOKUP($E$44&amp;"-"&amp;B51,'Planilha Base'!$A$2:$D$20,4,0)</f>
        <v>0.05</v>
      </c>
      <c r="F51" s="80"/>
      <c r="G51" s="84">
        <f t="shared" si="0"/>
        <v>75</v>
      </c>
      <c r="H51" s="85"/>
    </row>
    <row r="52" spans="2:8" x14ac:dyDescent="0.25">
      <c r="B52" s="88" t="str">
        <f>'Planilha Base'!C7</f>
        <v>DESENVOLVIMENTO</v>
      </c>
      <c r="C52" s="89"/>
      <c r="D52" s="89"/>
      <c r="E52" s="80">
        <f>VLOOKUP($E$44&amp;"-"&amp;B52,'Planilha Base'!$A$2:$D$20,4,0)</f>
        <v>0.2</v>
      </c>
      <c r="F52" s="80"/>
      <c r="G52" s="84">
        <f t="shared" si="0"/>
        <v>300</v>
      </c>
      <c r="H52" s="85"/>
    </row>
    <row r="53" spans="2:8" x14ac:dyDescent="0.25">
      <c r="B53" s="88" t="str">
        <f>'Planilha Base'!C8</f>
        <v>HOTELARIAS</v>
      </c>
      <c r="C53" s="89"/>
      <c r="D53" s="89"/>
      <c r="E53" s="80">
        <f>VLOOKUP($E$44&amp;"-"&amp;B53,'Planilha Base'!$A$2:$D$20,4,0)</f>
        <v>0.1</v>
      </c>
      <c r="F53" s="80"/>
      <c r="G53" s="84">
        <f t="shared" si="0"/>
        <v>150</v>
      </c>
      <c r="H53" s="85"/>
    </row>
    <row r="54" spans="2:8" ht="15.75" thickBot="1" x14ac:dyDescent="0.3">
      <c r="B54" s="90"/>
      <c r="C54" s="91"/>
      <c r="D54" s="91"/>
      <c r="E54" s="81"/>
      <c r="F54" s="81"/>
      <c r="G54" s="86">
        <f>SUM(G48:H53)</f>
        <v>1500</v>
      </c>
      <c r="H54" s="87"/>
    </row>
  </sheetData>
  <mergeCells count="60">
    <mergeCell ref="B52:D52"/>
    <mergeCell ref="B53:D53"/>
    <mergeCell ref="B54:D54"/>
    <mergeCell ref="B44:D44"/>
    <mergeCell ref="B45:D45"/>
    <mergeCell ref="B47:D47"/>
    <mergeCell ref="B48:D48"/>
    <mergeCell ref="B49:D49"/>
    <mergeCell ref="B50:D50"/>
    <mergeCell ref="B51:D51"/>
    <mergeCell ref="E52:F52"/>
    <mergeCell ref="E53:F53"/>
    <mergeCell ref="E54:F54"/>
    <mergeCell ref="G47:H47"/>
    <mergeCell ref="G48:H48"/>
    <mergeCell ref="G49:H49"/>
    <mergeCell ref="G50:H50"/>
    <mergeCell ref="G51:H51"/>
    <mergeCell ref="G52:H52"/>
    <mergeCell ref="G53:H53"/>
    <mergeCell ref="G54:H54"/>
    <mergeCell ref="E47:F47"/>
    <mergeCell ref="E48:F48"/>
    <mergeCell ref="E49:F49"/>
    <mergeCell ref="E50:F50"/>
    <mergeCell ref="E51:F51"/>
    <mergeCell ref="B16:H16"/>
    <mergeCell ref="B17:E17"/>
    <mergeCell ref="B18:E18"/>
    <mergeCell ref="B19:E19"/>
    <mergeCell ref="B20:E20"/>
    <mergeCell ref="F17:H17"/>
    <mergeCell ref="F18:H18"/>
    <mergeCell ref="F19:H19"/>
    <mergeCell ref="F20:H20"/>
    <mergeCell ref="F40:H40"/>
    <mergeCell ref="L30:M30"/>
    <mergeCell ref="B36:E36"/>
    <mergeCell ref="B37:E37"/>
    <mergeCell ref="B39:E39"/>
    <mergeCell ref="B40:E40"/>
    <mergeCell ref="F36:H36"/>
    <mergeCell ref="F37:H37"/>
    <mergeCell ref="B33:E33"/>
    <mergeCell ref="B34:E34"/>
    <mergeCell ref="B35:E35"/>
    <mergeCell ref="F33:H33"/>
    <mergeCell ref="F34:H34"/>
    <mergeCell ref="F35:H35"/>
    <mergeCell ref="B38:E38"/>
    <mergeCell ref="F38:H38"/>
    <mergeCell ref="L23:M23"/>
    <mergeCell ref="B32:H32"/>
    <mergeCell ref="F39:H39"/>
    <mergeCell ref="B24:H24"/>
    <mergeCell ref="B26:E26"/>
    <mergeCell ref="B27:E27"/>
    <mergeCell ref="B28:E28"/>
    <mergeCell ref="B29:E29"/>
    <mergeCell ref="B23:D23"/>
  </mergeCells>
  <conditionalFormatting sqref="H25">
    <cfRule type="expression" dxfId="14" priority="14">
      <formula>E23="Pessimista"</formula>
    </cfRule>
    <cfRule type="expression" dxfId="13" priority="15">
      <formula>E23="Otimista"</formula>
    </cfRule>
    <cfRule type="expression" dxfId="12" priority="16">
      <formula>E23="Realista"</formula>
    </cfRule>
  </conditionalFormatting>
  <conditionalFormatting sqref="H26">
    <cfRule type="expression" dxfId="11" priority="7">
      <formula>E23="Pessimista"</formula>
    </cfRule>
    <cfRule type="expression" dxfId="10" priority="8">
      <formula>E23="Otimista"</formula>
    </cfRule>
    <cfRule type="expression" dxfId="9" priority="9">
      <formula>E23="Realista"</formula>
    </cfRule>
  </conditionalFormatting>
  <conditionalFormatting sqref="H27">
    <cfRule type="expression" dxfId="8" priority="4">
      <formula>E23="Pessimista"</formula>
    </cfRule>
    <cfRule type="expression" dxfId="7" priority="5">
      <formula>E23="Otimista"</formula>
    </cfRule>
    <cfRule type="expression" dxfId="6" priority="6">
      <formula>E23="Realista"</formula>
    </cfRule>
  </conditionalFormatting>
  <conditionalFormatting sqref="H28">
    <cfRule type="expression" dxfId="5" priority="1">
      <formula>E23="Pessimista"</formula>
    </cfRule>
    <cfRule type="expression" dxfId="4" priority="2">
      <formula>E23="Otimista"</formula>
    </cfRule>
    <cfRule type="expression" dxfId="3" priority="3">
      <formula>E23="Realista"</formula>
    </cfRule>
  </conditionalFormatting>
  <conditionalFormatting sqref="J26">
    <cfRule type="expression" dxfId="2" priority="10">
      <formula>G25="Pessimista"</formula>
    </cfRule>
    <cfRule type="expression" dxfId="1" priority="11">
      <formula>G25="Otimista"</formula>
    </cfRule>
    <cfRule type="expression" dxfId="0" priority="12">
      <formula>G25="Realista"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63" r:id="rId3" name="Label3">
          <controlPr defaultSize="0" autoLine="0" r:id="rId4">
            <anchor moveWithCells="1">
              <from>
                <xdr:col>5</xdr:col>
                <xdr:colOff>247650</xdr:colOff>
                <xdr:row>34</xdr:row>
                <xdr:rowOff>114300</xdr:rowOff>
              </from>
              <to>
                <xdr:col>7</xdr:col>
                <xdr:colOff>1419225</xdr:colOff>
                <xdr:row>34</xdr:row>
                <xdr:rowOff>342900</xdr:rowOff>
              </to>
            </anchor>
          </controlPr>
        </control>
      </mc:Choice>
      <mc:Fallback>
        <control shapeId="1063" r:id="rId3" name="Label3"/>
      </mc:Fallback>
    </mc:AlternateContent>
    <mc:AlternateContent xmlns:mc="http://schemas.openxmlformats.org/markup-compatibility/2006">
      <mc:Choice Requires="x14">
        <control shapeId="1062" r:id="rId5" name="Label2">
          <controlPr defaultSize="0" autoLine="0" autoPict="0" r:id="rId6">
            <anchor moveWithCells="1">
              <from>
                <xdr:col>5</xdr:col>
                <xdr:colOff>9525</xdr:colOff>
                <xdr:row>35</xdr:row>
                <xdr:rowOff>9525</xdr:rowOff>
              </from>
              <to>
                <xdr:col>7</xdr:col>
                <xdr:colOff>1600200</xdr:colOff>
                <xdr:row>36</xdr:row>
                <xdr:rowOff>28575</xdr:rowOff>
              </to>
            </anchor>
          </controlPr>
        </control>
      </mc:Choice>
      <mc:Fallback>
        <control shapeId="1062" r:id="rId5" name="Label2"/>
      </mc:Fallback>
    </mc:AlternateContent>
    <mc:AlternateContent xmlns:mc="http://schemas.openxmlformats.org/markup-compatibility/2006">
      <mc:Choice Requires="x14">
        <control shapeId="1061" r:id="rId7" name="Label1">
          <controlPr defaultSize="0" autoLine="0" autoPict="0" r:id="rId8">
            <anchor moveWithCells="1">
              <from>
                <xdr:col>4</xdr:col>
                <xdr:colOff>2638425</xdr:colOff>
                <xdr:row>34</xdr:row>
                <xdr:rowOff>9525</xdr:rowOff>
              </from>
              <to>
                <xdr:col>7</xdr:col>
                <xdr:colOff>1609725</xdr:colOff>
                <xdr:row>34</xdr:row>
                <xdr:rowOff>447675</xdr:rowOff>
              </to>
            </anchor>
          </controlPr>
        </control>
      </mc:Choice>
      <mc:Fallback>
        <control shapeId="1061" r:id="rId7" name="Label1"/>
      </mc:Fallback>
    </mc:AlternateContent>
    <mc:AlternateContent xmlns:mc="http://schemas.openxmlformats.org/markup-compatibility/2006">
      <mc:Choice Requires="x14">
        <control shapeId="1064" r:id="rId9" name="Label4">
          <controlPr defaultSize="0" autoLine="0" autoPict="0" r:id="rId10">
            <anchor moveWithCells="1">
              <from>
                <xdr:col>5</xdr:col>
                <xdr:colOff>104775</xdr:colOff>
                <xdr:row>35</xdr:row>
                <xdr:rowOff>152400</xdr:rowOff>
              </from>
              <to>
                <xdr:col>7</xdr:col>
                <xdr:colOff>1552575</xdr:colOff>
                <xdr:row>35</xdr:row>
                <xdr:rowOff>314325</xdr:rowOff>
              </to>
            </anchor>
          </controlPr>
        </control>
      </mc:Choice>
      <mc:Fallback>
        <control shapeId="1064" r:id="rId9" name="Label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BB48D5-108D-4542-A7F7-25A207961280}">
          <x14:formula1>
            <xm:f>'Planilha Base'!$G$3:$G$13</xm:f>
          </x14:formula1>
          <xm:sqref>E23</xm:sqref>
        </x14:dataValidation>
        <x14:dataValidation type="list" allowBlank="1" showInputMessage="1" showErrorMessage="1" xr:uid="{8D00B2B4-AC9B-40E2-B6E6-62833D48A691}">
          <x14:formula1>
            <xm:f>'Planilha Base'!$B$3:$B$20</xm:f>
          </x14:formula1>
          <xm:sqref>E44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51671-1EAB-472C-8233-9E77D9EEFCE9}">
  <sheetPr codeName="Planilha2"/>
  <dimension ref="A2:J20"/>
  <sheetViews>
    <sheetView workbookViewId="0">
      <selection activeCell="B15" sqref="B15:B20"/>
    </sheetView>
  </sheetViews>
  <sheetFormatPr defaultRowHeight="15" x14ac:dyDescent="0.25"/>
  <cols>
    <col min="1" max="1" width="30.85546875" bestFit="1" customWidth="1"/>
    <col min="2" max="2" width="12.140625" bestFit="1" customWidth="1"/>
    <col min="3" max="3" width="18.5703125" bestFit="1" customWidth="1"/>
    <col min="4" max="4" width="10.28515625" customWidth="1"/>
    <col min="6" max="6" width="37.42578125" bestFit="1" customWidth="1"/>
    <col min="7" max="7" width="13.85546875" bestFit="1" customWidth="1"/>
    <col min="8" max="8" width="23.5703125" bestFit="1" customWidth="1"/>
    <col min="9" max="9" width="15.28515625" bestFit="1" customWidth="1"/>
    <col min="10" max="10" width="14" bestFit="1" customWidth="1"/>
  </cols>
  <sheetData>
    <row r="2" spans="1:10" x14ac:dyDescent="0.25">
      <c r="A2" s="8" t="s">
        <v>27</v>
      </c>
      <c r="B2" s="8" t="s">
        <v>16</v>
      </c>
      <c r="C2" s="9" t="s">
        <v>17</v>
      </c>
      <c r="D2" s="9" t="s">
        <v>18</v>
      </c>
      <c r="F2" s="8" t="s">
        <v>27</v>
      </c>
      <c r="G2" s="8" t="s">
        <v>28</v>
      </c>
      <c r="H2" s="8"/>
      <c r="I2" s="8" t="s">
        <v>33</v>
      </c>
      <c r="J2" s="8" t="s">
        <v>32</v>
      </c>
    </row>
    <row r="3" spans="1:10" x14ac:dyDescent="0.25">
      <c r="A3" t="str">
        <f>B3&amp;"-"&amp;C3</f>
        <v>Conservador-PAPEL</v>
      </c>
      <c r="B3" t="s">
        <v>19</v>
      </c>
      <c r="C3" s="10" t="s">
        <v>20</v>
      </c>
      <c r="D3" s="11">
        <v>0.3</v>
      </c>
      <c r="F3" t="str">
        <f>G3&amp; "-"&amp; H3</f>
        <v>Otimista-Inflação</v>
      </c>
      <c r="G3" t="s">
        <v>29</v>
      </c>
      <c r="H3" t="s">
        <v>7</v>
      </c>
      <c r="I3" s="3">
        <f>( (1+J3)^(1/12) ) -1</f>
        <v>2.4662697723036864E-3</v>
      </c>
      <c r="J3" s="2">
        <v>0.03</v>
      </c>
    </row>
    <row r="4" spans="1:10" x14ac:dyDescent="0.25">
      <c r="A4" t="str">
        <f t="shared" ref="A4:A20" si="0">B4&amp;"-"&amp;C4</f>
        <v>Conservador-TIJOLO</v>
      </c>
      <c r="B4" t="s">
        <v>19</v>
      </c>
      <c r="C4" s="10" t="s">
        <v>21</v>
      </c>
      <c r="D4" s="11">
        <v>0.5</v>
      </c>
      <c r="F4" t="str">
        <f t="shared" ref="F4:F11" si="1">G4&amp; "-"&amp; H4</f>
        <v>Realista-Inflação</v>
      </c>
      <c r="G4" t="s">
        <v>30</v>
      </c>
      <c r="H4" t="s">
        <v>7</v>
      </c>
      <c r="I4" s="3">
        <f t="shared" ref="I4:I5" si="2">( (1+J4)^(1/12) ) -1</f>
        <v>3.6748094004368514E-3</v>
      </c>
      <c r="J4" s="2">
        <v>4.4999999999999998E-2</v>
      </c>
    </row>
    <row r="5" spans="1:10" x14ac:dyDescent="0.25">
      <c r="A5" t="str">
        <f t="shared" si="0"/>
        <v>Conservador-HÍBRIDOS</v>
      </c>
      <c r="B5" t="s">
        <v>19</v>
      </c>
      <c r="C5" s="10" t="s">
        <v>22</v>
      </c>
      <c r="D5" s="11">
        <v>0.1</v>
      </c>
      <c r="F5" t="str">
        <f t="shared" si="1"/>
        <v>Pessimista-Inflação</v>
      </c>
      <c r="G5" t="s">
        <v>31</v>
      </c>
      <c r="H5" t="s">
        <v>7</v>
      </c>
      <c r="I5" s="3">
        <f t="shared" si="2"/>
        <v>4.8675505653430484E-3</v>
      </c>
      <c r="J5" s="2">
        <v>0.06</v>
      </c>
    </row>
    <row r="6" spans="1:10" x14ac:dyDescent="0.25">
      <c r="A6" t="str">
        <f t="shared" si="0"/>
        <v>Conservador-FOFs</v>
      </c>
      <c r="B6" t="s">
        <v>19</v>
      </c>
      <c r="C6" s="10" t="s">
        <v>23</v>
      </c>
      <c r="D6" s="11">
        <v>0.1</v>
      </c>
      <c r="F6" t="str">
        <f t="shared" si="1"/>
        <v>Otimista-Retorno</v>
      </c>
      <c r="G6" t="s">
        <v>29</v>
      </c>
      <c r="H6" t="s">
        <v>35</v>
      </c>
      <c r="I6" s="19">
        <v>0.01</v>
      </c>
      <c r="J6" s="2">
        <f t="shared" ref="J6:J8" si="3">( (1+I6)^12 )-1</f>
        <v>0.12682503013196977</v>
      </c>
    </row>
    <row r="7" spans="1:10" x14ac:dyDescent="0.25">
      <c r="A7" t="str">
        <f t="shared" si="0"/>
        <v>Conservador-DESENVOLVIMENTO</v>
      </c>
      <c r="B7" t="s">
        <v>19</v>
      </c>
      <c r="C7" s="10" t="s">
        <v>24</v>
      </c>
      <c r="D7" s="11">
        <v>0</v>
      </c>
      <c r="F7" t="str">
        <f t="shared" si="1"/>
        <v>Realista-Retorno</v>
      </c>
      <c r="G7" t="s">
        <v>30</v>
      </c>
      <c r="H7" t="s">
        <v>35</v>
      </c>
      <c r="I7" s="17">
        <v>7.0000000000000001E-3</v>
      </c>
      <c r="J7" s="2">
        <f t="shared" si="3"/>
        <v>8.7310661915505294E-2</v>
      </c>
    </row>
    <row r="8" spans="1:10" ht="15.75" thickBot="1" x14ac:dyDescent="0.3">
      <c r="A8" s="12" t="str">
        <f t="shared" si="0"/>
        <v>Conservador-HOTELARIAS</v>
      </c>
      <c r="B8" s="12" t="s">
        <v>19</v>
      </c>
      <c r="C8" s="13" t="s">
        <v>25</v>
      </c>
      <c r="D8" s="14">
        <v>0</v>
      </c>
      <c r="F8" t="str">
        <f t="shared" si="1"/>
        <v>Pessimista-Retorno</v>
      </c>
      <c r="G8" t="s">
        <v>31</v>
      </c>
      <c r="H8" t="s">
        <v>35</v>
      </c>
      <c r="I8" s="17">
        <v>5.0000000000000001E-3</v>
      </c>
      <c r="J8" s="2">
        <f t="shared" si="3"/>
        <v>6.1677811864497611E-2</v>
      </c>
    </row>
    <row r="9" spans="1:10" x14ac:dyDescent="0.25">
      <c r="A9" t="str">
        <f t="shared" si="0"/>
        <v>Moderado-PAPEL</v>
      </c>
      <c r="B9" t="s">
        <v>26</v>
      </c>
      <c r="C9" s="10" t="s">
        <v>20</v>
      </c>
      <c r="D9" s="11">
        <v>0.32</v>
      </c>
      <c r="F9" t="str">
        <f t="shared" si="1"/>
        <v>Otimista-Aumento de Investimento</v>
      </c>
      <c r="G9" t="s">
        <v>29</v>
      </c>
      <c r="H9" t="s">
        <v>36</v>
      </c>
      <c r="I9" s="3">
        <f>( (1+J9)^(1/12) ) -1</f>
        <v>2.0598362698427408E-3</v>
      </c>
      <c r="J9" s="17">
        <v>2.5000000000000001E-2</v>
      </c>
    </row>
    <row r="10" spans="1:10" x14ac:dyDescent="0.25">
      <c r="A10" s="5" t="str">
        <f t="shared" si="0"/>
        <v>Moderado-TIJOLO</v>
      </c>
      <c r="B10" s="5" t="s">
        <v>26</v>
      </c>
      <c r="C10" s="15" t="s">
        <v>21</v>
      </c>
      <c r="D10" s="16">
        <v>0.35</v>
      </c>
      <c r="F10" t="str">
        <f t="shared" si="1"/>
        <v>Realista-Aumento de Investimento</v>
      </c>
      <c r="G10" t="s">
        <v>30</v>
      </c>
      <c r="H10" t="s">
        <v>36</v>
      </c>
      <c r="I10" s="3">
        <f t="shared" ref="I10:I11" si="4">( (1+J10)^(1/12) ) -1</f>
        <v>8.295381143461622E-4</v>
      </c>
      <c r="J10" s="19">
        <v>0.01</v>
      </c>
    </row>
    <row r="11" spans="1:10" x14ac:dyDescent="0.25">
      <c r="A11" t="str">
        <f t="shared" si="0"/>
        <v>Moderado-HÍBRIDOS</v>
      </c>
      <c r="B11" t="s">
        <v>26</v>
      </c>
      <c r="C11" s="10" t="s">
        <v>22</v>
      </c>
      <c r="D11" s="11">
        <v>0.08</v>
      </c>
      <c r="F11" t="str">
        <f t="shared" si="1"/>
        <v>Pessimista-Aumento de Investimento</v>
      </c>
      <c r="G11" t="s">
        <v>31</v>
      </c>
      <c r="H11" t="s">
        <v>36</v>
      </c>
      <c r="I11" s="3">
        <f t="shared" si="4"/>
        <v>0</v>
      </c>
      <c r="J11" s="19">
        <v>0</v>
      </c>
    </row>
    <row r="12" spans="1:10" x14ac:dyDescent="0.25">
      <c r="A12" t="str">
        <f t="shared" si="0"/>
        <v>Moderado-FOFs</v>
      </c>
      <c r="B12" t="s">
        <v>26</v>
      </c>
      <c r="C12" s="10" t="s">
        <v>23</v>
      </c>
      <c r="D12" s="11">
        <v>0.05</v>
      </c>
      <c r="F12" t="str">
        <f>G12&amp; "-"&amp; H12</f>
        <v>Personalizado-Retorno</v>
      </c>
      <c r="G12" t="s">
        <v>38</v>
      </c>
      <c r="H12" t="s">
        <v>35</v>
      </c>
      <c r="I12" s="3">
        <f>( (1+J12)^(1/12) ) -1</f>
        <v>6.4340301100034303E-3</v>
      </c>
      <c r="J12" s="20">
        <f>'Calculadora de Investimento'!H26</f>
        <v>0.08</v>
      </c>
    </row>
    <row r="13" spans="1:10" x14ac:dyDescent="0.25">
      <c r="A13" t="str">
        <f t="shared" si="0"/>
        <v>Moderado-DESENVOLVIMENTO</v>
      </c>
      <c r="B13" t="s">
        <v>26</v>
      </c>
      <c r="C13" s="10" t="s">
        <v>24</v>
      </c>
      <c r="D13" s="11">
        <v>0.1</v>
      </c>
      <c r="F13" t="str">
        <f>G13&amp; "-"&amp; H13</f>
        <v>Personalizado-Inflação</v>
      </c>
      <c r="G13" t="s">
        <v>38</v>
      </c>
      <c r="H13" t="s">
        <v>7</v>
      </c>
      <c r="I13" s="3">
        <f>( (1+J13)^(1/12) ) -1</f>
        <v>0</v>
      </c>
      <c r="J13" s="20">
        <f>'Calculadora de Investimento'!H27</f>
        <v>0</v>
      </c>
    </row>
    <row r="14" spans="1:10" ht="15.75" thickBot="1" x14ac:dyDescent="0.3">
      <c r="A14" s="12" t="str">
        <f t="shared" si="0"/>
        <v>Moderado-HOTELARIAS</v>
      </c>
      <c r="B14" s="12" t="s">
        <v>26</v>
      </c>
      <c r="C14" s="13" t="s">
        <v>25</v>
      </c>
      <c r="D14" s="14">
        <v>0.1</v>
      </c>
      <c r="F14" t="str">
        <f>G14&amp; "-"&amp; H14</f>
        <v>Personalizado-Aumento de Investimento</v>
      </c>
      <c r="G14" t="s">
        <v>38</v>
      </c>
      <c r="H14" t="s">
        <v>36</v>
      </c>
      <c r="I14" s="3">
        <f>( (1+J14)^(1/12) ) -1</f>
        <v>4.1571484472902043E-4</v>
      </c>
      <c r="J14" s="20">
        <f>'Calculadora de Investimento'!H28</f>
        <v>5.0000000000000001E-3</v>
      </c>
    </row>
    <row r="15" spans="1:10" x14ac:dyDescent="0.25">
      <c r="A15" t="str">
        <f t="shared" si="0"/>
        <v>Arrojado-PAPEL</v>
      </c>
      <c r="B15" t="s">
        <v>53</v>
      </c>
      <c r="C15" s="10" t="s">
        <v>20</v>
      </c>
      <c r="D15" s="11">
        <v>0.5</v>
      </c>
    </row>
    <row r="16" spans="1:10" x14ac:dyDescent="0.25">
      <c r="A16" t="str">
        <f t="shared" si="0"/>
        <v>Arrojado-TIJOLO</v>
      </c>
      <c r="B16" t="s">
        <v>53</v>
      </c>
      <c r="C16" s="10" t="s">
        <v>21</v>
      </c>
      <c r="D16" s="11">
        <v>0.1</v>
      </c>
    </row>
    <row r="17" spans="1:4" x14ac:dyDescent="0.25">
      <c r="A17" t="str">
        <f t="shared" si="0"/>
        <v>Arrojado-HÍBRIDOS</v>
      </c>
      <c r="B17" t="s">
        <v>53</v>
      </c>
      <c r="C17" s="10" t="s">
        <v>22</v>
      </c>
      <c r="D17" s="11">
        <v>0.05</v>
      </c>
    </row>
    <row r="18" spans="1:4" x14ac:dyDescent="0.25">
      <c r="A18" t="str">
        <f t="shared" si="0"/>
        <v>Arrojado-FOFs</v>
      </c>
      <c r="B18" t="s">
        <v>53</v>
      </c>
      <c r="C18" s="10" t="s">
        <v>23</v>
      </c>
      <c r="D18" s="11">
        <v>0.05</v>
      </c>
    </row>
    <row r="19" spans="1:4" x14ac:dyDescent="0.25">
      <c r="A19" t="str">
        <f t="shared" si="0"/>
        <v>Arrojado-DESENVOLVIMENTO</v>
      </c>
      <c r="B19" t="s">
        <v>53</v>
      </c>
      <c r="C19" s="10" t="s">
        <v>24</v>
      </c>
      <c r="D19" s="11">
        <v>0.2</v>
      </c>
    </row>
    <row r="20" spans="1:4" x14ac:dyDescent="0.25">
      <c r="A20" t="str">
        <f t="shared" si="0"/>
        <v>Arrojado-HOTELARIAS</v>
      </c>
      <c r="B20" t="s">
        <v>53</v>
      </c>
      <c r="C20" s="10" t="s">
        <v>25</v>
      </c>
      <c r="D20" s="11">
        <v>0.1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5BAA0-5A65-4D79-AA9D-69C853BB68C4}">
  <sheetPr codeName="Planilha3"/>
  <dimension ref="A1:E137"/>
  <sheetViews>
    <sheetView workbookViewId="0">
      <selection activeCell="B2" sqref="B2"/>
    </sheetView>
  </sheetViews>
  <sheetFormatPr defaultRowHeight="15" x14ac:dyDescent="0.25"/>
  <cols>
    <col min="1" max="1" width="13.85546875" style="1" customWidth="1"/>
    <col min="2" max="2" width="21" bestFit="1" customWidth="1"/>
    <col min="3" max="3" width="10.42578125" bestFit="1" customWidth="1"/>
    <col min="4" max="4" width="12.28515625" bestFit="1" customWidth="1"/>
    <col min="5" max="5" width="10.85546875" bestFit="1" customWidth="1"/>
  </cols>
  <sheetData>
    <row r="1" spans="1:5" x14ac:dyDescent="0.25">
      <c r="A1" s="6" t="s">
        <v>8</v>
      </c>
      <c r="B1" s="7" t="s">
        <v>12</v>
      </c>
      <c r="C1" s="7" t="s">
        <v>9</v>
      </c>
      <c r="D1" s="7" t="s">
        <v>10</v>
      </c>
      <c r="E1" s="7" t="s">
        <v>11</v>
      </c>
    </row>
    <row r="2" spans="1:5" x14ac:dyDescent="0.25">
      <c r="A2" s="1">
        <v>41640</v>
      </c>
      <c r="B2" s="17">
        <v>5.4999999999999997E-3</v>
      </c>
      <c r="C2" s="1">
        <f>EOMONTH(A2,0)</f>
        <v>41670</v>
      </c>
      <c r="D2">
        <f>C2-A2+1</f>
        <v>31</v>
      </c>
      <c r="E2" s="4">
        <f>((1+B2)^(1/D2))-1</f>
        <v>1.7694888685193533E-4</v>
      </c>
    </row>
    <row r="3" spans="1:5" x14ac:dyDescent="0.25">
      <c r="A3" s="1">
        <v>41671</v>
      </c>
      <c r="B3" s="17">
        <v>6.8999999999999999E-3</v>
      </c>
      <c r="C3" s="1">
        <f t="shared" ref="C3:C66" si="0">EOMONTH(A3,0)</f>
        <v>41698</v>
      </c>
      <c r="D3">
        <f t="shared" ref="D3:D66" si="1">C3-A3+1</f>
        <v>28</v>
      </c>
      <c r="E3" s="4">
        <f t="shared" ref="E3:E66" si="2">((1+B3)^(1/D3))-1</f>
        <v>2.4561244134879701E-4</v>
      </c>
    </row>
    <row r="4" spans="1:5" x14ac:dyDescent="0.25">
      <c r="A4" s="1">
        <v>41699</v>
      </c>
      <c r="B4" s="17">
        <v>9.1999999999999998E-3</v>
      </c>
      <c r="C4" s="1">
        <f t="shared" si="0"/>
        <v>41729</v>
      </c>
      <c r="D4">
        <f t="shared" si="1"/>
        <v>31</v>
      </c>
      <c r="E4" s="4">
        <f t="shared" si="2"/>
        <v>2.954609878975667E-4</v>
      </c>
    </row>
    <row r="5" spans="1:5" x14ac:dyDescent="0.25">
      <c r="A5" s="1">
        <v>41730</v>
      </c>
      <c r="B5" s="18">
        <v>6.7000000000000002E-3</v>
      </c>
      <c r="C5" s="1">
        <f t="shared" si="0"/>
        <v>41759</v>
      </c>
      <c r="D5">
        <f t="shared" si="1"/>
        <v>30</v>
      </c>
      <c r="E5" s="4">
        <f t="shared" si="2"/>
        <v>2.2261326643113755E-4</v>
      </c>
    </row>
    <row r="6" spans="1:5" x14ac:dyDescent="0.25">
      <c r="A6" s="1">
        <v>41760</v>
      </c>
      <c r="B6" s="18">
        <v>4.5999999999999999E-3</v>
      </c>
      <c r="C6" s="1">
        <f t="shared" si="0"/>
        <v>41790</v>
      </c>
      <c r="D6">
        <f t="shared" si="1"/>
        <v>31</v>
      </c>
      <c r="E6" s="4">
        <f t="shared" si="2"/>
        <v>1.4805780895321696E-4</v>
      </c>
    </row>
    <row r="7" spans="1:5" x14ac:dyDescent="0.25">
      <c r="A7" s="1">
        <v>41791</v>
      </c>
      <c r="B7" s="18">
        <v>4.0000000000000001E-3</v>
      </c>
      <c r="C7" s="1">
        <f t="shared" si="0"/>
        <v>41820</v>
      </c>
      <c r="D7">
        <f t="shared" si="1"/>
        <v>30</v>
      </c>
      <c r="E7" s="4">
        <f t="shared" si="2"/>
        <v>1.3307622950708975E-4</v>
      </c>
    </row>
    <row r="8" spans="1:5" x14ac:dyDescent="0.25">
      <c r="A8" s="1">
        <v>41821</v>
      </c>
      <c r="B8" s="18">
        <v>1E-4</v>
      </c>
      <c r="C8" s="1">
        <f t="shared" si="0"/>
        <v>41851</v>
      </c>
      <c r="D8">
        <f t="shared" si="1"/>
        <v>31</v>
      </c>
      <c r="E8" s="4">
        <f t="shared" si="2"/>
        <v>3.2256503743610665E-6</v>
      </c>
    </row>
    <row r="9" spans="1:5" x14ac:dyDescent="0.25">
      <c r="A9" s="1">
        <v>41852</v>
      </c>
      <c r="B9" s="18">
        <v>2.5000000000000001E-3</v>
      </c>
      <c r="C9" s="1">
        <f t="shared" si="0"/>
        <v>41882</v>
      </c>
      <c r="D9">
        <f t="shared" si="1"/>
        <v>31</v>
      </c>
      <c r="E9" s="4">
        <f t="shared" si="2"/>
        <v>8.0547766332150772E-5</v>
      </c>
    </row>
    <row r="10" spans="1:5" x14ac:dyDescent="0.25">
      <c r="A10" s="1">
        <v>41883</v>
      </c>
      <c r="B10" s="18">
        <v>5.7000000000000002E-3</v>
      </c>
      <c r="C10" s="1">
        <f t="shared" si="0"/>
        <v>41912</v>
      </c>
      <c r="D10">
        <f t="shared" si="1"/>
        <v>30</v>
      </c>
      <c r="E10" s="4">
        <f t="shared" si="2"/>
        <v>1.8947849772654735E-4</v>
      </c>
    </row>
    <row r="11" spans="1:5" x14ac:dyDescent="0.25">
      <c r="A11" s="1">
        <v>41913</v>
      </c>
      <c r="B11" s="18">
        <v>4.1999999999999997E-3</v>
      </c>
      <c r="C11" s="1">
        <f t="shared" si="0"/>
        <v>41943</v>
      </c>
      <c r="D11">
        <f t="shared" si="1"/>
        <v>31</v>
      </c>
      <c r="E11" s="4">
        <f t="shared" si="2"/>
        <v>1.3520928893484552E-4</v>
      </c>
    </row>
    <row r="12" spans="1:5" x14ac:dyDescent="0.25">
      <c r="A12" s="1">
        <v>41944</v>
      </c>
      <c r="B12" s="18">
        <v>5.1000000000000004E-3</v>
      </c>
      <c r="C12" s="1">
        <f t="shared" si="0"/>
        <v>41973</v>
      </c>
      <c r="D12">
        <f t="shared" si="1"/>
        <v>30</v>
      </c>
      <c r="E12" s="4">
        <f t="shared" si="2"/>
        <v>1.6958234574571129E-4</v>
      </c>
    </row>
    <row r="13" spans="1:5" x14ac:dyDescent="0.25">
      <c r="A13" s="1">
        <v>41974</v>
      </c>
      <c r="B13" s="18">
        <v>7.7999999999999996E-3</v>
      </c>
      <c r="C13" s="1">
        <f t="shared" si="0"/>
        <v>42004</v>
      </c>
      <c r="D13">
        <f t="shared" si="1"/>
        <v>31</v>
      </c>
      <c r="E13" s="4">
        <f t="shared" si="2"/>
        <v>2.5066809794549449E-4</v>
      </c>
    </row>
    <row r="14" spans="1:5" x14ac:dyDescent="0.25">
      <c r="A14" s="1">
        <v>42005</v>
      </c>
      <c r="B14" s="18">
        <v>1.24E-2</v>
      </c>
      <c r="C14" s="1">
        <f t="shared" si="0"/>
        <v>42035</v>
      </c>
      <c r="D14">
        <f t="shared" si="1"/>
        <v>31</v>
      </c>
      <c r="E14" s="4">
        <f t="shared" si="2"/>
        <v>3.9761934216508976E-4</v>
      </c>
    </row>
    <row r="15" spans="1:5" x14ac:dyDescent="0.25">
      <c r="A15" s="1">
        <v>42036</v>
      </c>
      <c r="B15" s="18">
        <v>1.2200000000000001E-2</v>
      </c>
      <c r="C15" s="1">
        <f t="shared" si="0"/>
        <v>42063</v>
      </c>
      <c r="D15">
        <f t="shared" si="1"/>
        <v>28</v>
      </c>
      <c r="E15" s="4">
        <f t="shared" si="2"/>
        <v>4.3317164167411271E-4</v>
      </c>
    </row>
    <row r="16" spans="1:5" x14ac:dyDescent="0.25">
      <c r="A16" s="1">
        <v>42064</v>
      </c>
      <c r="B16" s="18">
        <v>1.32E-2</v>
      </c>
      <c r="C16" s="1">
        <f t="shared" si="0"/>
        <v>42094</v>
      </c>
      <c r="D16">
        <f t="shared" si="1"/>
        <v>31</v>
      </c>
      <c r="E16" s="4">
        <f t="shared" si="2"/>
        <v>4.2311010343221156E-4</v>
      </c>
    </row>
    <row r="17" spans="1:5" x14ac:dyDescent="0.25">
      <c r="A17" s="1">
        <v>42095</v>
      </c>
      <c r="B17" s="18">
        <v>7.1000000000000004E-3</v>
      </c>
      <c r="C17" s="1">
        <f t="shared" si="0"/>
        <v>42124</v>
      </c>
      <c r="D17">
        <f t="shared" si="1"/>
        <v>30</v>
      </c>
      <c r="E17" s="4">
        <f t="shared" si="2"/>
        <v>2.3585826592009695E-4</v>
      </c>
    </row>
    <row r="18" spans="1:5" x14ac:dyDescent="0.25">
      <c r="A18" s="1">
        <v>42125</v>
      </c>
      <c r="B18" s="18">
        <v>7.4000000000000003E-3</v>
      </c>
      <c r="C18" s="1">
        <f t="shared" si="0"/>
        <v>42155</v>
      </c>
      <c r="D18">
        <f t="shared" si="1"/>
        <v>31</v>
      </c>
      <c r="E18" s="4">
        <f t="shared" si="2"/>
        <v>2.3785906880302576E-4</v>
      </c>
    </row>
    <row r="19" spans="1:5" x14ac:dyDescent="0.25">
      <c r="A19" s="1">
        <v>42156</v>
      </c>
      <c r="B19" s="18">
        <v>7.9000000000000008E-3</v>
      </c>
      <c r="C19" s="1">
        <f t="shared" si="0"/>
        <v>42185</v>
      </c>
      <c r="D19">
        <f t="shared" si="1"/>
        <v>30</v>
      </c>
      <c r="E19" s="4">
        <f t="shared" si="2"/>
        <v>2.6233301591216396E-4</v>
      </c>
    </row>
    <row r="20" spans="1:5" x14ac:dyDescent="0.25">
      <c r="A20" s="1">
        <v>42186</v>
      </c>
      <c r="B20" s="18">
        <v>6.1999999999999998E-3</v>
      </c>
      <c r="C20" s="1">
        <f t="shared" si="0"/>
        <v>42216</v>
      </c>
      <c r="D20">
        <f t="shared" si="1"/>
        <v>31</v>
      </c>
      <c r="E20" s="4">
        <f t="shared" si="2"/>
        <v>1.9940242883098591E-4</v>
      </c>
    </row>
    <row r="21" spans="1:5" x14ac:dyDescent="0.25">
      <c r="A21" s="1">
        <v>42217</v>
      </c>
      <c r="B21" s="18">
        <v>2.2000000000000001E-3</v>
      </c>
      <c r="C21" s="1">
        <f t="shared" si="0"/>
        <v>42247</v>
      </c>
      <c r="D21">
        <f t="shared" si="1"/>
        <v>31</v>
      </c>
      <c r="E21" s="4">
        <f t="shared" si="2"/>
        <v>7.0892304466108058E-5</v>
      </c>
    </row>
    <row r="22" spans="1:5" x14ac:dyDescent="0.25">
      <c r="A22" s="1">
        <v>42248</v>
      </c>
      <c r="B22" s="18">
        <v>5.4000000000000003E-3</v>
      </c>
      <c r="C22" s="1">
        <f t="shared" si="0"/>
        <v>42277</v>
      </c>
      <c r="D22">
        <f t="shared" si="1"/>
        <v>30</v>
      </c>
      <c r="E22" s="4">
        <f t="shared" si="2"/>
        <v>1.795318564596915E-4</v>
      </c>
    </row>
    <row r="23" spans="1:5" x14ac:dyDescent="0.25">
      <c r="A23" s="1">
        <v>42278</v>
      </c>
      <c r="B23" s="18">
        <v>8.2000000000000007E-3</v>
      </c>
      <c r="C23" s="1">
        <f t="shared" si="0"/>
        <v>42308</v>
      </c>
      <c r="D23">
        <f t="shared" si="1"/>
        <v>31</v>
      </c>
      <c r="E23" s="4">
        <f t="shared" si="2"/>
        <v>2.6347220807432237E-4</v>
      </c>
    </row>
    <row r="24" spans="1:5" x14ac:dyDescent="0.25">
      <c r="A24" s="1">
        <v>42309</v>
      </c>
      <c r="B24" s="18">
        <v>1.01E-2</v>
      </c>
      <c r="C24" s="1">
        <f t="shared" si="0"/>
        <v>42338</v>
      </c>
      <c r="D24">
        <f t="shared" si="1"/>
        <v>30</v>
      </c>
      <c r="E24" s="4">
        <f t="shared" si="2"/>
        <v>3.3503397311585026E-4</v>
      </c>
    </row>
    <row r="25" spans="1:5" x14ac:dyDescent="0.25">
      <c r="A25" s="1">
        <v>42339</v>
      </c>
      <c r="B25" s="18">
        <v>9.5999999999999992E-3</v>
      </c>
      <c r="C25" s="1">
        <f t="shared" si="0"/>
        <v>42369</v>
      </c>
      <c r="D25">
        <f t="shared" si="1"/>
        <v>31</v>
      </c>
      <c r="E25" s="4">
        <f t="shared" si="2"/>
        <v>3.0824791168537757E-4</v>
      </c>
    </row>
    <row r="26" spans="1:5" x14ac:dyDescent="0.25">
      <c r="A26" s="1">
        <v>42370</v>
      </c>
      <c r="B26" s="18">
        <v>1.2699999999999999E-2</v>
      </c>
      <c r="C26" s="1">
        <f t="shared" si="0"/>
        <v>42400</v>
      </c>
      <c r="D26">
        <f t="shared" si="1"/>
        <v>31</v>
      </c>
      <c r="E26" s="4">
        <f t="shared" si="2"/>
        <v>4.0718066123002217E-4</v>
      </c>
    </row>
    <row r="27" spans="1:5" x14ac:dyDescent="0.25">
      <c r="A27" s="1">
        <v>42401</v>
      </c>
      <c r="B27" s="18">
        <v>8.9999999999999993E-3</v>
      </c>
      <c r="C27" s="1">
        <f t="shared" si="0"/>
        <v>42429</v>
      </c>
      <c r="D27">
        <f t="shared" si="1"/>
        <v>29</v>
      </c>
      <c r="E27" s="4">
        <f t="shared" si="2"/>
        <v>3.0900433102187819E-4</v>
      </c>
    </row>
    <row r="28" spans="1:5" x14ac:dyDescent="0.25">
      <c r="A28" s="1">
        <v>42430</v>
      </c>
      <c r="B28" s="18">
        <v>4.3E-3</v>
      </c>
      <c r="C28" s="1">
        <f t="shared" si="0"/>
        <v>42460</v>
      </c>
      <c r="D28">
        <f t="shared" si="1"/>
        <v>31</v>
      </c>
      <c r="E28" s="4">
        <f t="shared" si="2"/>
        <v>1.3842188320412063E-4</v>
      </c>
    </row>
    <row r="29" spans="1:5" x14ac:dyDescent="0.25">
      <c r="A29" s="1">
        <v>42461</v>
      </c>
      <c r="B29" s="18">
        <v>6.1000000000000004E-3</v>
      </c>
      <c r="C29" s="1">
        <f t="shared" si="0"/>
        <v>42490</v>
      </c>
      <c r="D29">
        <f t="shared" si="1"/>
        <v>30</v>
      </c>
      <c r="E29" s="4">
        <f t="shared" si="2"/>
        <v>2.0273622540689651E-4</v>
      </c>
    </row>
    <row r="30" spans="1:5" x14ac:dyDescent="0.25">
      <c r="A30" s="1">
        <v>42491</v>
      </c>
      <c r="B30" s="18">
        <v>7.7999999999999996E-3</v>
      </c>
      <c r="C30" s="1">
        <f t="shared" si="0"/>
        <v>42521</v>
      </c>
      <c r="D30">
        <f t="shared" si="1"/>
        <v>31</v>
      </c>
      <c r="E30" s="4">
        <f t="shared" si="2"/>
        <v>2.5066809794549449E-4</v>
      </c>
    </row>
    <row r="31" spans="1:5" x14ac:dyDescent="0.25">
      <c r="A31" s="1">
        <v>42522</v>
      </c>
      <c r="B31" s="18">
        <v>3.5000000000000001E-3</v>
      </c>
      <c r="C31" s="1">
        <f t="shared" si="0"/>
        <v>42551</v>
      </c>
      <c r="D31">
        <f t="shared" si="1"/>
        <v>30</v>
      </c>
      <c r="E31" s="4">
        <f t="shared" si="2"/>
        <v>1.1646975721735231E-4</v>
      </c>
    </row>
    <row r="32" spans="1:5" x14ac:dyDescent="0.25">
      <c r="A32" s="1">
        <v>42552</v>
      </c>
      <c r="B32" s="18">
        <v>5.1999999999999998E-3</v>
      </c>
      <c r="C32" s="1">
        <f t="shared" si="0"/>
        <v>42582</v>
      </c>
      <c r="D32">
        <f t="shared" si="1"/>
        <v>31</v>
      </c>
      <c r="E32" s="4">
        <f t="shared" si="2"/>
        <v>1.6732130914243193E-4</v>
      </c>
    </row>
    <row r="33" spans="1:5" x14ac:dyDescent="0.25">
      <c r="A33" s="1">
        <v>42583</v>
      </c>
      <c r="B33" s="18">
        <v>4.4000000000000003E-3</v>
      </c>
      <c r="C33" s="1">
        <f t="shared" si="0"/>
        <v>42613</v>
      </c>
      <c r="D33">
        <f t="shared" si="1"/>
        <v>31</v>
      </c>
      <c r="E33" s="4">
        <f t="shared" si="2"/>
        <v>1.4163416792323247E-4</v>
      </c>
    </row>
    <row r="34" spans="1:5" x14ac:dyDescent="0.25">
      <c r="A34" s="1">
        <v>42614</v>
      </c>
      <c r="B34" s="18">
        <v>8.0000000000000004E-4</v>
      </c>
      <c r="C34" s="1">
        <f t="shared" si="0"/>
        <v>42643</v>
      </c>
      <c r="D34">
        <f t="shared" si="1"/>
        <v>30</v>
      </c>
      <c r="E34" s="4">
        <f t="shared" si="2"/>
        <v>2.6656360959886882E-5</v>
      </c>
    </row>
    <row r="35" spans="1:5" x14ac:dyDescent="0.25">
      <c r="A35" s="1">
        <v>42644</v>
      </c>
      <c r="B35" s="18">
        <v>2.5999999999999999E-3</v>
      </c>
      <c r="C35" s="1">
        <f t="shared" si="0"/>
        <v>42674</v>
      </c>
      <c r="D35">
        <f t="shared" si="1"/>
        <v>31</v>
      </c>
      <c r="E35" s="4">
        <f t="shared" si="2"/>
        <v>8.3765632250099031E-5</v>
      </c>
    </row>
    <row r="36" spans="1:5" x14ac:dyDescent="0.25">
      <c r="A36" s="1">
        <v>42675</v>
      </c>
      <c r="B36" s="18">
        <v>1.8E-3</v>
      </c>
      <c r="C36" s="1">
        <f t="shared" si="0"/>
        <v>42704</v>
      </c>
      <c r="D36">
        <f t="shared" si="1"/>
        <v>30</v>
      </c>
      <c r="E36" s="4">
        <f t="shared" si="2"/>
        <v>5.9947861513975909E-5</v>
      </c>
    </row>
    <row r="37" spans="1:5" x14ac:dyDescent="0.25">
      <c r="A37" s="1">
        <v>42705</v>
      </c>
      <c r="B37" s="18">
        <v>3.0000000000000001E-3</v>
      </c>
      <c r="C37" s="1">
        <f t="shared" si="0"/>
        <v>42735</v>
      </c>
      <c r="D37">
        <f t="shared" si="1"/>
        <v>31</v>
      </c>
      <c r="E37" s="4">
        <f t="shared" si="2"/>
        <v>9.6633990692263083E-5</v>
      </c>
    </row>
    <row r="38" spans="1:5" x14ac:dyDescent="0.25">
      <c r="A38" s="1">
        <v>42736</v>
      </c>
      <c r="B38" s="18">
        <v>3.8E-3</v>
      </c>
      <c r="C38" s="1">
        <f t="shared" si="0"/>
        <v>42766</v>
      </c>
      <c r="D38">
        <f t="shared" si="1"/>
        <v>31</v>
      </c>
      <c r="E38" s="4">
        <f t="shared" si="2"/>
        <v>1.2235581514263849E-4</v>
      </c>
    </row>
    <row r="39" spans="1:5" x14ac:dyDescent="0.25">
      <c r="A39" s="1">
        <v>42767</v>
      </c>
      <c r="B39" s="18">
        <v>3.3E-3</v>
      </c>
      <c r="C39" s="1">
        <f t="shared" si="0"/>
        <v>42794</v>
      </c>
      <c r="D39">
        <f t="shared" si="1"/>
        <v>28</v>
      </c>
      <c r="E39" s="4">
        <f t="shared" si="2"/>
        <v>1.1767002791152059E-4</v>
      </c>
    </row>
    <row r="40" spans="1:5" x14ac:dyDescent="0.25">
      <c r="A40" s="1">
        <v>42795</v>
      </c>
      <c r="B40" s="18">
        <v>2.5000000000000001E-3</v>
      </c>
      <c r="C40" s="1">
        <f t="shared" si="0"/>
        <v>42825</v>
      </c>
      <c r="D40">
        <f t="shared" si="1"/>
        <v>31</v>
      </c>
      <c r="E40" s="4">
        <f t="shared" si="2"/>
        <v>8.0547766332150772E-5</v>
      </c>
    </row>
    <row r="41" spans="1:5" x14ac:dyDescent="0.25">
      <c r="A41" s="1">
        <v>42826</v>
      </c>
      <c r="B41" s="18">
        <v>1.4E-3</v>
      </c>
      <c r="C41" s="1">
        <f t="shared" si="0"/>
        <v>42855</v>
      </c>
      <c r="D41">
        <f t="shared" si="1"/>
        <v>30</v>
      </c>
      <c r="E41" s="4">
        <f t="shared" si="2"/>
        <v>4.6635117840310158E-5</v>
      </c>
    </row>
    <row r="42" spans="1:5" x14ac:dyDescent="0.25">
      <c r="A42" s="1">
        <v>42856</v>
      </c>
      <c r="B42" s="18">
        <v>3.0999999999999999E-3</v>
      </c>
      <c r="C42" s="1">
        <f t="shared" si="0"/>
        <v>42886</v>
      </c>
      <c r="D42">
        <f t="shared" si="1"/>
        <v>31</v>
      </c>
      <c r="E42" s="4">
        <f t="shared" si="2"/>
        <v>9.985030430015307E-5</v>
      </c>
    </row>
    <row r="43" spans="1:5" x14ac:dyDescent="0.25">
      <c r="A43" s="1">
        <v>42887</v>
      </c>
      <c r="B43" s="18">
        <v>-2.3E-3</v>
      </c>
      <c r="C43" s="1">
        <f t="shared" si="0"/>
        <v>42916</v>
      </c>
      <c r="D43">
        <f t="shared" si="1"/>
        <v>30</v>
      </c>
      <c r="E43" s="4">
        <f t="shared" si="2"/>
        <v>-7.6752023168591421E-5</v>
      </c>
    </row>
    <row r="44" spans="1:5" x14ac:dyDescent="0.25">
      <c r="A44" s="1">
        <v>42917</v>
      </c>
      <c r="B44" s="18">
        <v>2.3999999999999998E-3</v>
      </c>
      <c r="C44" s="1">
        <f t="shared" si="0"/>
        <v>42947</v>
      </c>
      <c r="D44">
        <f t="shared" si="1"/>
        <v>31</v>
      </c>
      <c r="E44" s="4">
        <f t="shared" si="2"/>
        <v>7.7329589769581375E-5</v>
      </c>
    </row>
    <row r="45" spans="1:5" x14ac:dyDescent="0.25">
      <c r="A45" s="1">
        <v>42948</v>
      </c>
      <c r="B45" s="18">
        <v>1.9E-3</v>
      </c>
      <c r="C45" s="1">
        <f t="shared" si="0"/>
        <v>42978</v>
      </c>
      <c r="D45">
        <f t="shared" si="1"/>
        <v>31</v>
      </c>
      <c r="E45" s="4">
        <f t="shared" si="2"/>
        <v>6.123404514957187E-5</v>
      </c>
    </row>
    <row r="46" spans="1:5" x14ac:dyDescent="0.25">
      <c r="A46" s="1">
        <v>42979</v>
      </c>
      <c r="B46" s="18">
        <v>1.6000000000000001E-3</v>
      </c>
      <c r="C46" s="1">
        <f t="shared" si="0"/>
        <v>43008</v>
      </c>
      <c r="D46">
        <f t="shared" si="1"/>
        <v>30</v>
      </c>
      <c r="E46" s="4">
        <f t="shared" si="2"/>
        <v>5.3292132098370359E-5</v>
      </c>
    </row>
    <row r="47" spans="1:5" x14ac:dyDescent="0.25">
      <c r="A47" s="1">
        <v>43009</v>
      </c>
      <c r="B47" s="18">
        <v>4.1999999999999997E-3</v>
      </c>
      <c r="C47" s="1">
        <f t="shared" si="0"/>
        <v>43039</v>
      </c>
      <c r="D47">
        <f t="shared" si="1"/>
        <v>31</v>
      </c>
      <c r="E47" s="4">
        <f t="shared" si="2"/>
        <v>1.3520928893484552E-4</v>
      </c>
    </row>
    <row r="48" spans="1:5" x14ac:dyDescent="0.25">
      <c r="A48" s="1">
        <v>43040</v>
      </c>
      <c r="B48" s="18">
        <v>2.8E-3</v>
      </c>
      <c r="C48" s="1">
        <f t="shared" si="0"/>
        <v>43069</v>
      </c>
      <c r="D48">
        <f t="shared" si="1"/>
        <v>30</v>
      </c>
      <c r="E48" s="4">
        <f t="shared" si="2"/>
        <v>9.3207253592852979E-5</v>
      </c>
    </row>
    <row r="49" spans="1:5" x14ac:dyDescent="0.25">
      <c r="A49" s="1">
        <v>43070</v>
      </c>
      <c r="B49" s="18">
        <v>4.4000000000000003E-3</v>
      </c>
      <c r="C49" s="1">
        <f t="shared" si="0"/>
        <v>43100</v>
      </c>
      <c r="D49">
        <f t="shared" si="1"/>
        <v>31</v>
      </c>
      <c r="E49" s="4">
        <f t="shared" si="2"/>
        <v>1.4163416792323247E-4</v>
      </c>
    </row>
    <row r="50" spans="1:5" x14ac:dyDescent="0.25">
      <c r="A50" s="1">
        <v>43101</v>
      </c>
      <c r="B50" s="18">
        <v>2.8999999999999998E-3</v>
      </c>
      <c r="C50" s="1">
        <f t="shared" si="0"/>
        <v>43131</v>
      </c>
      <c r="D50">
        <f t="shared" si="1"/>
        <v>31</v>
      </c>
      <c r="E50" s="4">
        <f t="shared" si="2"/>
        <v>9.3417366744175112E-5</v>
      </c>
    </row>
    <row r="51" spans="1:5" x14ac:dyDescent="0.25">
      <c r="A51" s="1">
        <v>43132</v>
      </c>
      <c r="B51" s="18">
        <v>3.2000000000000002E-3</v>
      </c>
      <c r="C51" s="1">
        <f t="shared" si="0"/>
        <v>43159</v>
      </c>
      <c r="D51">
        <f t="shared" si="1"/>
        <v>28</v>
      </c>
      <c r="E51" s="4">
        <f t="shared" si="2"/>
        <v>1.1410975632730747E-4</v>
      </c>
    </row>
    <row r="52" spans="1:5" x14ac:dyDescent="0.25">
      <c r="A52" s="1">
        <v>43160</v>
      </c>
      <c r="B52" s="18">
        <v>8.9999999999999998E-4</v>
      </c>
      <c r="C52" s="1">
        <f t="shared" si="0"/>
        <v>43190</v>
      </c>
      <c r="D52">
        <f t="shared" si="1"/>
        <v>31</v>
      </c>
      <c r="E52" s="4">
        <f t="shared" si="2"/>
        <v>2.9019622442838511E-5</v>
      </c>
    </row>
    <row r="53" spans="1:5" x14ac:dyDescent="0.25">
      <c r="A53" s="1">
        <v>43191</v>
      </c>
      <c r="B53" s="18">
        <v>2.2000000000000001E-3</v>
      </c>
      <c r="C53" s="1">
        <f t="shared" si="0"/>
        <v>43220</v>
      </c>
      <c r="D53">
        <f t="shared" si="1"/>
        <v>30</v>
      </c>
      <c r="E53" s="4">
        <f t="shared" si="2"/>
        <v>7.3255467833766019E-5</v>
      </c>
    </row>
    <row r="54" spans="1:5" x14ac:dyDescent="0.25">
      <c r="A54" s="1">
        <v>43221</v>
      </c>
      <c r="B54" s="18">
        <v>4.0000000000000001E-3</v>
      </c>
      <c r="C54" s="1">
        <f t="shared" si="0"/>
        <v>43251</v>
      </c>
      <c r="D54">
        <f t="shared" si="1"/>
        <v>31</v>
      </c>
      <c r="E54" s="4">
        <f t="shared" si="2"/>
        <v>1.2878317150333274E-4</v>
      </c>
    </row>
    <row r="55" spans="1:5" x14ac:dyDescent="0.25">
      <c r="A55" s="1">
        <v>43252</v>
      </c>
      <c r="B55" s="18">
        <v>1.26E-2</v>
      </c>
      <c r="C55" s="1">
        <f t="shared" si="0"/>
        <v>43281</v>
      </c>
      <c r="D55">
        <f t="shared" si="1"/>
        <v>30</v>
      </c>
      <c r="E55" s="4">
        <f t="shared" si="2"/>
        <v>4.1746313194535034E-4</v>
      </c>
    </row>
    <row r="56" spans="1:5" x14ac:dyDescent="0.25">
      <c r="A56" s="1">
        <v>43282</v>
      </c>
      <c r="B56" s="18">
        <v>3.3E-3</v>
      </c>
      <c r="C56" s="1">
        <f t="shared" si="0"/>
        <v>43312</v>
      </c>
      <c r="D56">
        <f t="shared" si="1"/>
        <v>31</v>
      </c>
      <c r="E56" s="4">
        <f t="shared" si="2"/>
        <v>1.0628200073914407E-4</v>
      </c>
    </row>
    <row r="57" spans="1:5" x14ac:dyDescent="0.25">
      <c r="A57" s="1">
        <v>43313</v>
      </c>
      <c r="B57" s="18">
        <v>-8.9999999999999998E-4</v>
      </c>
      <c r="C57" s="1">
        <f t="shared" si="0"/>
        <v>43343</v>
      </c>
      <c r="D57">
        <f t="shared" si="1"/>
        <v>31</v>
      </c>
      <c r="E57" s="4">
        <f t="shared" si="2"/>
        <v>-2.9044908613107268E-5</v>
      </c>
    </row>
    <row r="58" spans="1:5" x14ac:dyDescent="0.25">
      <c r="A58" s="1">
        <v>43344</v>
      </c>
      <c r="B58" s="18">
        <v>4.7999999999999996E-3</v>
      </c>
      <c r="C58" s="1">
        <f t="shared" si="0"/>
        <v>43373</v>
      </c>
      <c r="D58">
        <f t="shared" si="1"/>
        <v>30</v>
      </c>
      <c r="E58" s="4">
        <f t="shared" si="2"/>
        <v>1.5962996390017636E-4</v>
      </c>
    </row>
    <row r="59" spans="1:5" x14ac:dyDescent="0.25">
      <c r="A59" s="1">
        <v>43374</v>
      </c>
      <c r="B59" s="18">
        <v>4.4999999999999997E-3</v>
      </c>
      <c r="C59" s="1">
        <f t="shared" si="0"/>
        <v>43404</v>
      </c>
      <c r="D59">
        <f t="shared" si="1"/>
        <v>31</v>
      </c>
      <c r="E59" s="4">
        <f t="shared" si="2"/>
        <v>1.448461431527992E-4</v>
      </c>
    </row>
    <row r="60" spans="1:5" x14ac:dyDescent="0.25">
      <c r="A60" s="1">
        <v>43405</v>
      </c>
      <c r="B60" s="18">
        <v>-2.0999999999999999E-3</v>
      </c>
      <c r="C60" s="1">
        <f t="shared" si="0"/>
        <v>43434</v>
      </c>
      <c r="D60">
        <f t="shared" si="1"/>
        <v>30</v>
      </c>
      <c r="E60" s="4">
        <f t="shared" si="2"/>
        <v>-7.0071147964756442E-5</v>
      </c>
    </row>
    <row r="61" spans="1:5" x14ac:dyDescent="0.25">
      <c r="A61" s="1">
        <v>43435</v>
      </c>
      <c r="B61" s="18">
        <v>1.5E-3</v>
      </c>
      <c r="C61" s="1">
        <f t="shared" si="0"/>
        <v>43465</v>
      </c>
      <c r="D61">
        <f t="shared" si="1"/>
        <v>31</v>
      </c>
      <c r="E61" s="4">
        <f t="shared" si="2"/>
        <v>4.8352011621899393E-5</v>
      </c>
    </row>
    <row r="62" spans="1:5" x14ac:dyDescent="0.25">
      <c r="A62" s="1">
        <v>43466</v>
      </c>
      <c r="B62" s="18">
        <v>3.2000000000000002E-3</v>
      </c>
      <c r="C62" s="1">
        <f t="shared" si="0"/>
        <v>43496</v>
      </c>
      <c r="D62">
        <f t="shared" si="1"/>
        <v>31</v>
      </c>
      <c r="E62" s="4">
        <f t="shared" si="2"/>
        <v>1.0306630762890734E-4</v>
      </c>
    </row>
    <row r="63" spans="1:5" x14ac:dyDescent="0.25">
      <c r="A63" s="1">
        <v>43497</v>
      </c>
      <c r="B63" s="18">
        <v>4.3E-3</v>
      </c>
      <c r="C63" s="1">
        <f t="shared" si="0"/>
        <v>43524</v>
      </c>
      <c r="D63">
        <f t="shared" si="1"/>
        <v>28</v>
      </c>
      <c r="E63" s="4">
        <f t="shared" si="2"/>
        <v>1.5325393565457368E-4</v>
      </c>
    </row>
    <row r="64" spans="1:5" x14ac:dyDescent="0.25">
      <c r="A64" s="1">
        <v>43525</v>
      </c>
      <c r="B64" s="18">
        <v>7.4999999999999997E-3</v>
      </c>
      <c r="C64" s="1">
        <f t="shared" si="0"/>
        <v>43555</v>
      </c>
      <c r="D64">
        <f t="shared" si="1"/>
        <v>31</v>
      </c>
      <c r="E64" s="4">
        <f t="shared" si="2"/>
        <v>2.4106178745642026E-4</v>
      </c>
    </row>
    <row r="65" spans="1:5" x14ac:dyDescent="0.25">
      <c r="A65" s="1">
        <v>43556</v>
      </c>
      <c r="B65" s="18">
        <v>5.7000000000000002E-3</v>
      </c>
      <c r="C65" s="1">
        <f t="shared" si="0"/>
        <v>43585</v>
      </c>
      <c r="D65">
        <f t="shared" si="1"/>
        <v>30</v>
      </c>
      <c r="E65" s="4">
        <f t="shared" si="2"/>
        <v>1.8947849772654735E-4</v>
      </c>
    </row>
    <row r="66" spans="1:5" x14ac:dyDescent="0.25">
      <c r="A66" s="1">
        <v>43586</v>
      </c>
      <c r="B66" s="18">
        <v>1.2999999999999999E-3</v>
      </c>
      <c r="C66" s="1">
        <f t="shared" si="0"/>
        <v>43616</v>
      </c>
      <c r="D66">
        <f t="shared" si="1"/>
        <v>31</v>
      </c>
      <c r="E66" s="4">
        <f t="shared" si="2"/>
        <v>4.1909127570072258E-5</v>
      </c>
    </row>
    <row r="67" spans="1:5" x14ac:dyDescent="0.25">
      <c r="A67" s="1">
        <v>43617</v>
      </c>
      <c r="B67" s="18">
        <v>1E-4</v>
      </c>
      <c r="C67" s="1">
        <f t="shared" ref="C67:C130" si="3">EOMONTH(A67,0)</f>
        <v>43646</v>
      </c>
      <c r="D67">
        <f t="shared" ref="D67:D130" si="4">C67-A67+1</f>
        <v>30</v>
      </c>
      <c r="E67" s="4">
        <f t="shared" ref="E67:E130" si="5">((1+B67)^(1/D67))-1</f>
        <v>3.3331722328888702E-6</v>
      </c>
    </row>
    <row r="68" spans="1:5" x14ac:dyDescent="0.25">
      <c r="A68" s="1">
        <v>43647</v>
      </c>
      <c r="B68" s="18">
        <v>1.9E-3</v>
      </c>
      <c r="C68" s="1">
        <f t="shared" si="3"/>
        <v>43677</v>
      </c>
      <c r="D68">
        <f t="shared" si="4"/>
        <v>31</v>
      </c>
      <c r="E68" s="4">
        <f t="shared" si="5"/>
        <v>6.123404514957187E-5</v>
      </c>
    </row>
    <row r="69" spans="1:5" x14ac:dyDescent="0.25">
      <c r="A69" s="1">
        <v>43678</v>
      </c>
      <c r="B69" s="18">
        <v>1.1000000000000001E-3</v>
      </c>
      <c r="C69" s="1">
        <f t="shared" si="3"/>
        <v>43708</v>
      </c>
      <c r="D69">
        <f t="shared" si="4"/>
        <v>31</v>
      </c>
      <c r="E69" s="4">
        <f t="shared" si="5"/>
        <v>3.546499800699543E-5</v>
      </c>
    </row>
    <row r="70" spans="1:5" x14ac:dyDescent="0.25">
      <c r="A70" s="1">
        <v>43709</v>
      </c>
      <c r="B70" s="18">
        <v>-4.0000000000000002E-4</v>
      </c>
      <c r="C70" s="1">
        <f t="shared" si="3"/>
        <v>43738</v>
      </c>
      <c r="D70">
        <f t="shared" si="4"/>
        <v>30</v>
      </c>
      <c r="E70" s="4">
        <f t="shared" si="5"/>
        <v>-1.3335911787315524E-5</v>
      </c>
    </row>
    <row r="71" spans="1:5" x14ac:dyDescent="0.25">
      <c r="A71" s="1">
        <v>43739</v>
      </c>
      <c r="B71" s="18">
        <v>1E-3</v>
      </c>
      <c r="C71" s="1">
        <f t="shared" si="3"/>
        <v>43769</v>
      </c>
      <c r="D71">
        <f t="shared" si="4"/>
        <v>31</v>
      </c>
      <c r="E71" s="4">
        <f t="shared" si="5"/>
        <v>3.2242466005527604E-5</v>
      </c>
    </row>
    <row r="72" spans="1:5" x14ac:dyDescent="0.25">
      <c r="A72" s="1">
        <v>43770</v>
      </c>
      <c r="B72" s="18">
        <v>5.1000000000000004E-3</v>
      </c>
      <c r="C72" s="1">
        <f t="shared" si="3"/>
        <v>43799</v>
      </c>
      <c r="D72">
        <f t="shared" si="4"/>
        <v>30</v>
      </c>
      <c r="E72" s="4">
        <f t="shared" si="5"/>
        <v>1.6958234574571129E-4</v>
      </c>
    </row>
    <row r="73" spans="1:5" x14ac:dyDescent="0.25">
      <c r="A73" s="1">
        <v>43800</v>
      </c>
      <c r="B73" s="18">
        <v>1.15E-2</v>
      </c>
      <c r="C73" s="1">
        <f t="shared" si="3"/>
        <v>43830</v>
      </c>
      <c r="D73">
        <f t="shared" si="4"/>
        <v>31</v>
      </c>
      <c r="E73" s="4">
        <f t="shared" si="5"/>
        <v>3.6891892500490187E-4</v>
      </c>
    </row>
    <row r="74" spans="1:5" x14ac:dyDescent="0.25">
      <c r="A74" s="1">
        <v>43831</v>
      </c>
      <c r="B74" s="18">
        <v>2.0999999999999999E-3</v>
      </c>
      <c r="C74" s="1">
        <f t="shared" si="3"/>
        <v>43861</v>
      </c>
      <c r="D74">
        <f t="shared" si="4"/>
        <v>31</v>
      </c>
      <c r="E74" s="4">
        <f t="shared" si="5"/>
        <v>6.7673195603079606E-5</v>
      </c>
    </row>
    <row r="75" spans="1:5" x14ac:dyDescent="0.25">
      <c r="A75" s="1">
        <v>43862</v>
      </c>
      <c r="B75" s="18">
        <v>2.5000000000000001E-3</v>
      </c>
      <c r="C75" s="1">
        <f t="shared" si="3"/>
        <v>43890</v>
      </c>
      <c r="D75">
        <f t="shared" si="4"/>
        <v>29</v>
      </c>
      <c r="E75" s="4">
        <f t="shared" si="5"/>
        <v>8.6103023845263138E-5</v>
      </c>
    </row>
    <row r="76" spans="1:5" x14ac:dyDescent="0.25">
      <c r="A76" s="1">
        <v>43891</v>
      </c>
      <c r="B76" s="18">
        <v>6.9999999999999999E-4</v>
      </c>
      <c r="C76" s="1">
        <f t="shared" si="3"/>
        <v>43921</v>
      </c>
      <c r="D76">
        <f t="shared" si="4"/>
        <v>31</v>
      </c>
      <c r="E76" s="4">
        <f t="shared" si="5"/>
        <v>2.2573000387993147E-5</v>
      </c>
    </row>
    <row r="77" spans="1:5" x14ac:dyDescent="0.25">
      <c r="A77" s="1">
        <v>43922</v>
      </c>
      <c r="B77" s="18">
        <v>-3.0999999999999999E-3</v>
      </c>
      <c r="C77" s="1">
        <f t="shared" si="3"/>
        <v>43951</v>
      </c>
      <c r="D77">
        <f t="shared" si="4"/>
        <v>30</v>
      </c>
      <c r="E77" s="4">
        <f t="shared" si="5"/>
        <v>-1.0348847648078419E-4</v>
      </c>
    </row>
    <row r="78" spans="1:5" x14ac:dyDescent="0.25">
      <c r="A78" s="1">
        <v>43952</v>
      </c>
      <c r="B78" s="18">
        <v>-3.8E-3</v>
      </c>
      <c r="C78" s="1">
        <f t="shared" si="3"/>
        <v>43982</v>
      </c>
      <c r="D78">
        <f t="shared" si="4"/>
        <v>31</v>
      </c>
      <c r="E78" s="4">
        <f t="shared" si="5"/>
        <v>-1.2280659874752686E-4</v>
      </c>
    </row>
    <row r="79" spans="1:5" x14ac:dyDescent="0.25">
      <c r="A79" s="1">
        <v>43983</v>
      </c>
      <c r="B79" s="18">
        <v>2.5999999999999999E-3</v>
      </c>
      <c r="C79" s="1">
        <f t="shared" si="3"/>
        <v>44012</v>
      </c>
      <c r="D79">
        <f t="shared" si="4"/>
        <v>30</v>
      </c>
      <c r="E79" s="4">
        <f t="shared" si="5"/>
        <v>8.6557940831344382E-5</v>
      </c>
    </row>
    <row r="80" spans="1:5" x14ac:dyDescent="0.25">
      <c r="A80" s="1">
        <v>44013</v>
      </c>
      <c r="B80" s="18">
        <v>3.5999999999999999E-3</v>
      </c>
      <c r="C80" s="1">
        <f t="shared" si="3"/>
        <v>44043</v>
      </c>
      <c r="D80">
        <f t="shared" si="4"/>
        <v>31</v>
      </c>
      <c r="E80" s="4">
        <f t="shared" si="5"/>
        <v>1.1592721936759531E-4</v>
      </c>
    </row>
    <row r="81" spans="1:5" x14ac:dyDescent="0.25">
      <c r="A81" s="1">
        <v>44044</v>
      </c>
      <c r="B81" s="18">
        <v>2.3999999999999998E-3</v>
      </c>
      <c r="C81" s="1">
        <f t="shared" si="3"/>
        <v>44074</v>
      </c>
      <c r="D81">
        <f t="shared" si="4"/>
        <v>31</v>
      </c>
      <c r="E81" s="4">
        <f t="shared" si="5"/>
        <v>7.7329589769581375E-5</v>
      </c>
    </row>
    <row r="82" spans="1:5" x14ac:dyDescent="0.25">
      <c r="A82" s="1">
        <v>44075</v>
      </c>
      <c r="B82" s="18">
        <v>6.4000000000000003E-3</v>
      </c>
      <c r="C82" s="1">
        <f t="shared" si="3"/>
        <v>44104</v>
      </c>
      <c r="D82">
        <f t="shared" si="4"/>
        <v>30</v>
      </c>
      <c r="E82" s="4">
        <f t="shared" si="5"/>
        <v>2.1267617784026527E-4</v>
      </c>
    </row>
    <row r="83" spans="1:5" x14ac:dyDescent="0.25">
      <c r="A83" s="1">
        <v>44105</v>
      </c>
      <c r="B83" s="18">
        <v>8.6E-3</v>
      </c>
      <c r="C83" s="1">
        <f t="shared" si="3"/>
        <v>44135</v>
      </c>
      <c r="D83">
        <f t="shared" si="4"/>
        <v>31</v>
      </c>
      <c r="E83" s="4">
        <f t="shared" si="5"/>
        <v>2.7627140302910469E-4</v>
      </c>
    </row>
    <row r="84" spans="1:5" x14ac:dyDescent="0.25">
      <c r="A84" s="1">
        <v>44136</v>
      </c>
      <c r="B84" s="18">
        <v>8.8999999999999999E-3</v>
      </c>
      <c r="C84" s="1">
        <f t="shared" si="3"/>
        <v>44165</v>
      </c>
      <c r="D84">
        <f t="shared" si="4"/>
        <v>30</v>
      </c>
      <c r="E84" s="4">
        <f t="shared" si="5"/>
        <v>2.9539790244337283E-4</v>
      </c>
    </row>
    <row r="85" spans="1:5" x14ac:dyDescent="0.25">
      <c r="A85" s="1">
        <v>44166</v>
      </c>
      <c r="B85" s="18">
        <v>1.35E-2</v>
      </c>
      <c r="C85" s="1">
        <f t="shared" si="3"/>
        <v>44196</v>
      </c>
      <c r="D85">
        <f t="shared" si="4"/>
        <v>31</v>
      </c>
      <c r="E85" s="4">
        <f t="shared" si="5"/>
        <v>4.3266411761133661E-4</v>
      </c>
    </row>
    <row r="86" spans="1:5" x14ac:dyDescent="0.25">
      <c r="A86" s="1">
        <v>44197</v>
      </c>
      <c r="B86" s="18">
        <v>2.5000000000000001E-3</v>
      </c>
      <c r="C86" s="1">
        <f t="shared" si="3"/>
        <v>44227</v>
      </c>
      <c r="D86">
        <f t="shared" si="4"/>
        <v>31</v>
      </c>
      <c r="E86" s="4">
        <f t="shared" si="5"/>
        <v>8.0547766332150772E-5</v>
      </c>
    </row>
    <row r="87" spans="1:5" x14ac:dyDescent="0.25">
      <c r="A87" s="1">
        <v>44228</v>
      </c>
      <c r="B87" s="18">
        <v>8.6E-3</v>
      </c>
      <c r="C87" s="1">
        <f t="shared" si="3"/>
        <v>44255</v>
      </c>
      <c r="D87">
        <f t="shared" si="4"/>
        <v>28</v>
      </c>
      <c r="E87" s="4">
        <f t="shared" si="5"/>
        <v>3.0587643710622281E-4</v>
      </c>
    </row>
    <row r="88" spans="1:5" x14ac:dyDescent="0.25">
      <c r="A88" s="1">
        <v>44256</v>
      </c>
      <c r="B88" s="18">
        <v>9.2999999999999992E-3</v>
      </c>
      <c r="C88" s="1">
        <f t="shared" si="3"/>
        <v>44286</v>
      </c>
      <c r="D88">
        <f t="shared" si="4"/>
        <v>31</v>
      </c>
      <c r="E88" s="4">
        <f t="shared" si="5"/>
        <v>2.9865817859464627E-4</v>
      </c>
    </row>
    <row r="89" spans="1:5" x14ac:dyDescent="0.25">
      <c r="A89" s="1">
        <v>44287</v>
      </c>
      <c r="B89" s="18">
        <v>3.0999999999999999E-3</v>
      </c>
      <c r="C89" s="1">
        <f t="shared" si="3"/>
        <v>44316</v>
      </c>
      <c r="D89">
        <f t="shared" si="4"/>
        <v>30</v>
      </c>
      <c r="E89" s="4">
        <f t="shared" si="5"/>
        <v>1.031788194783001E-4</v>
      </c>
    </row>
    <row r="90" spans="1:5" x14ac:dyDescent="0.25">
      <c r="A90" s="1">
        <v>44317</v>
      </c>
      <c r="B90" s="18">
        <v>8.3000000000000001E-3</v>
      </c>
      <c r="C90" s="1">
        <f t="shared" si="3"/>
        <v>44347</v>
      </c>
      <c r="D90">
        <f t="shared" si="4"/>
        <v>31</v>
      </c>
      <c r="E90" s="4">
        <f t="shared" si="5"/>
        <v>2.6667246746070461E-4</v>
      </c>
    </row>
    <row r="91" spans="1:5" x14ac:dyDescent="0.25">
      <c r="A91" s="1">
        <v>44348</v>
      </c>
      <c r="B91" s="18">
        <v>5.3E-3</v>
      </c>
      <c r="C91" s="1">
        <f t="shared" si="3"/>
        <v>44377</v>
      </c>
      <c r="D91">
        <f t="shared" si="4"/>
        <v>30</v>
      </c>
      <c r="E91" s="4">
        <f t="shared" si="5"/>
        <v>1.7621567179904041E-4</v>
      </c>
    </row>
    <row r="92" spans="1:5" x14ac:dyDescent="0.25">
      <c r="A92" s="1">
        <v>44378</v>
      </c>
      <c r="B92" s="18">
        <v>9.5999999999999992E-3</v>
      </c>
      <c r="C92" s="1">
        <f t="shared" si="3"/>
        <v>44408</v>
      </c>
      <c r="D92">
        <f t="shared" si="4"/>
        <v>31</v>
      </c>
      <c r="E92" s="4">
        <f t="shared" si="5"/>
        <v>3.0824791168537757E-4</v>
      </c>
    </row>
    <row r="93" spans="1:5" x14ac:dyDescent="0.25">
      <c r="A93" s="1">
        <v>44409</v>
      </c>
      <c r="B93" s="18">
        <v>8.6999999999999994E-3</v>
      </c>
      <c r="C93" s="1">
        <f t="shared" si="3"/>
        <v>44439</v>
      </c>
      <c r="D93">
        <f t="shared" si="4"/>
        <v>31</v>
      </c>
      <c r="E93" s="4">
        <f t="shared" si="5"/>
        <v>2.7947043422149598E-4</v>
      </c>
    </row>
    <row r="94" spans="1:5" x14ac:dyDescent="0.25">
      <c r="A94" s="1">
        <v>44440</v>
      </c>
      <c r="B94" s="18">
        <v>1.1599999999999999E-2</v>
      </c>
      <c r="C94" s="1">
        <f t="shared" si="3"/>
        <v>44469</v>
      </c>
      <c r="D94">
        <f t="shared" si="4"/>
        <v>30</v>
      </c>
      <c r="E94" s="4">
        <f t="shared" si="5"/>
        <v>3.8451510077552875E-4</v>
      </c>
    </row>
    <row r="95" spans="1:5" x14ac:dyDescent="0.25">
      <c r="A95" s="1">
        <v>44470</v>
      </c>
      <c r="B95" s="18">
        <v>1.2500000000000001E-2</v>
      </c>
      <c r="C95" s="1">
        <f t="shared" si="3"/>
        <v>44500</v>
      </c>
      <c r="D95">
        <f t="shared" si="4"/>
        <v>31</v>
      </c>
      <c r="E95" s="4">
        <f t="shared" si="5"/>
        <v>4.0080675313691749E-4</v>
      </c>
    </row>
    <row r="96" spans="1:5" x14ac:dyDescent="0.25">
      <c r="A96" s="1">
        <v>44501</v>
      </c>
      <c r="B96" s="18">
        <v>9.4999999999999998E-3</v>
      </c>
      <c r="C96" s="1">
        <f t="shared" si="3"/>
        <v>44530</v>
      </c>
      <c r="D96">
        <f t="shared" si="4"/>
        <v>30</v>
      </c>
      <c r="E96" s="4">
        <f t="shared" si="5"/>
        <v>3.1522163092523314E-4</v>
      </c>
    </row>
    <row r="97" spans="1:5" x14ac:dyDescent="0.25">
      <c r="A97" s="1">
        <v>44531</v>
      </c>
      <c r="B97" s="18">
        <v>7.3000000000000001E-3</v>
      </c>
      <c r="C97" s="1">
        <f t="shared" si="3"/>
        <v>44561</v>
      </c>
      <c r="D97">
        <f t="shared" si="4"/>
        <v>31</v>
      </c>
      <c r="E97" s="4">
        <f t="shared" si="5"/>
        <v>2.34656042471304E-4</v>
      </c>
    </row>
    <row r="98" spans="1:5" x14ac:dyDescent="0.25">
      <c r="A98" s="1">
        <v>44562</v>
      </c>
      <c r="B98" s="18">
        <v>5.4000000000000003E-3</v>
      </c>
      <c r="C98" s="1">
        <f t="shared" si="3"/>
        <v>44592</v>
      </c>
      <c r="D98">
        <f t="shared" si="4"/>
        <v>31</v>
      </c>
      <c r="E98" s="4">
        <f t="shared" si="5"/>
        <v>1.7374000318626237E-4</v>
      </c>
    </row>
    <row r="99" spans="1:5" x14ac:dyDescent="0.25">
      <c r="A99" s="1">
        <v>44593</v>
      </c>
      <c r="B99" s="18">
        <v>1.01E-2</v>
      </c>
      <c r="C99" s="1">
        <f t="shared" si="3"/>
        <v>44620</v>
      </c>
      <c r="D99">
        <f t="shared" si="4"/>
        <v>28</v>
      </c>
      <c r="E99" s="4">
        <f t="shared" si="5"/>
        <v>3.5896926594514156E-4</v>
      </c>
    </row>
    <row r="100" spans="1:5" x14ac:dyDescent="0.25">
      <c r="A100" s="1">
        <v>44621</v>
      </c>
      <c r="B100" s="18">
        <v>1.6199999999999999E-2</v>
      </c>
      <c r="C100" s="1">
        <f t="shared" si="3"/>
        <v>44651</v>
      </c>
      <c r="D100">
        <f t="shared" si="4"/>
        <v>31</v>
      </c>
      <c r="E100" s="4">
        <f t="shared" si="5"/>
        <v>5.1852729777657203E-4</v>
      </c>
    </row>
    <row r="101" spans="1:5" x14ac:dyDescent="0.25">
      <c r="A101" s="1">
        <v>44652</v>
      </c>
      <c r="B101" s="18">
        <v>1.06E-2</v>
      </c>
      <c r="C101" s="1">
        <f t="shared" si="3"/>
        <v>44681</v>
      </c>
      <c r="D101">
        <f t="shared" si="4"/>
        <v>30</v>
      </c>
      <c r="E101" s="4">
        <f t="shared" si="5"/>
        <v>3.5153557000744406E-4</v>
      </c>
    </row>
    <row r="102" spans="1:5" x14ac:dyDescent="0.25">
      <c r="A102" s="1">
        <v>44682</v>
      </c>
      <c r="B102" s="18">
        <v>4.7000000000000002E-3</v>
      </c>
      <c r="C102" s="1">
        <f t="shared" si="3"/>
        <v>44712</v>
      </c>
      <c r="D102">
        <f t="shared" si="4"/>
        <v>31</v>
      </c>
      <c r="E102" s="4">
        <f t="shared" si="5"/>
        <v>1.5126916538554802E-4</v>
      </c>
    </row>
    <row r="103" spans="1:5" x14ac:dyDescent="0.25">
      <c r="A103" s="1">
        <v>44713</v>
      </c>
      <c r="B103" s="18">
        <v>6.7000000000000002E-3</v>
      </c>
      <c r="C103" s="1">
        <f t="shared" si="3"/>
        <v>44742</v>
      </c>
      <c r="D103">
        <f t="shared" si="4"/>
        <v>30</v>
      </c>
      <c r="E103" s="4">
        <f t="shared" si="5"/>
        <v>2.2261326643113755E-4</v>
      </c>
    </row>
    <row r="104" spans="1:5" x14ac:dyDescent="0.25">
      <c r="A104" s="1">
        <v>44743</v>
      </c>
      <c r="B104" s="18">
        <v>-6.7999999999999996E-3</v>
      </c>
      <c r="C104" s="1">
        <f t="shared" si="3"/>
        <v>44773</v>
      </c>
      <c r="D104">
        <f t="shared" si="4"/>
        <v>31</v>
      </c>
      <c r="E104" s="4">
        <f t="shared" si="5"/>
        <v>-2.2007982237004509E-4</v>
      </c>
    </row>
    <row r="105" spans="1:5" x14ac:dyDescent="0.25">
      <c r="A105" s="1">
        <v>44774</v>
      </c>
      <c r="B105" s="18">
        <v>-3.5999999999999999E-3</v>
      </c>
      <c r="C105" s="1">
        <f t="shared" si="3"/>
        <v>44804</v>
      </c>
      <c r="D105">
        <f t="shared" si="4"/>
        <v>31</v>
      </c>
      <c r="E105" s="4">
        <f t="shared" si="5"/>
        <v>-1.1633180048331582E-4</v>
      </c>
    </row>
    <row r="106" spans="1:5" x14ac:dyDescent="0.25">
      <c r="A106" s="1">
        <v>44805</v>
      </c>
      <c r="B106" s="18">
        <v>-2.8999999999999998E-3</v>
      </c>
      <c r="C106" s="1">
        <f t="shared" si="3"/>
        <v>44834</v>
      </c>
      <c r="D106">
        <f t="shared" si="4"/>
        <v>30</v>
      </c>
      <c r="E106" s="4">
        <f t="shared" si="5"/>
        <v>-9.6802419256469818E-5</v>
      </c>
    </row>
    <row r="107" spans="1:5" x14ac:dyDescent="0.25">
      <c r="A107" s="1">
        <v>44835</v>
      </c>
      <c r="B107" s="18">
        <v>5.8999999999999999E-3</v>
      </c>
      <c r="C107" s="1">
        <f t="shared" si="3"/>
        <v>44865</v>
      </c>
      <c r="D107">
        <f t="shared" si="4"/>
        <v>31</v>
      </c>
      <c r="E107" s="4">
        <f t="shared" si="5"/>
        <v>1.8978133388158902E-4</v>
      </c>
    </row>
    <row r="108" spans="1:5" x14ac:dyDescent="0.25">
      <c r="A108" s="1">
        <v>44866</v>
      </c>
      <c r="B108" s="18">
        <v>4.1000000000000003E-3</v>
      </c>
      <c r="C108" s="1">
        <f t="shared" si="3"/>
        <v>44895</v>
      </c>
      <c r="D108">
        <f t="shared" si="4"/>
        <v>30</v>
      </c>
      <c r="E108" s="4">
        <f t="shared" si="5"/>
        <v>1.3639656460751048E-4</v>
      </c>
    </row>
    <row r="109" spans="1:5" x14ac:dyDescent="0.25">
      <c r="A109" s="1">
        <v>44896</v>
      </c>
      <c r="B109" s="18">
        <v>6.1999999999999998E-3</v>
      </c>
      <c r="C109" s="1">
        <f t="shared" si="3"/>
        <v>44926</v>
      </c>
      <c r="D109">
        <f t="shared" si="4"/>
        <v>31</v>
      </c>
      <c r="E109" s="4">
        <f t="shared" si="5"/>
        <v>1.9940242883098591E-4</v>
      </c>
    </row>
    <row r="110" spans="1:5" x14ac:dyDescent="0.25">
      <c r="A110" s="1">
        <v>44927</v>
      </c>
      <c r="B110" s="18">
        <v>5.3E-3</v>
      </c>
      <c r="C110" s="1">
        <f t="shared" si="3"/>
        <v>44957</v>
      </c>
      <c r="D110">
        <f t="shared" si="4"/>
        <v>31</v>
      </c>
      <c r="E110" s="4">
        <f t="shared" si="5"/>
        <v>1.7053081063678199E-4</v>
      </c>
    </row>
    <row r="111" spans="1:5" x14ac:dyDescent="0.25">
      <c r="A111" s="1">
        <v>44958</v>
      </c>
      <c r="B111" s="18">
        <v>8.3999999999999995E-3</v>
      </c>
      <c r="C111" s="1">
        <f t="shared" si="3"/>
        <v>44985</v>
      </c>
      <c r="D111">
        <f t="shared" si="4"/>
        <v>28</v>
      </c>
      <c r="E111" s="4">
        <f t="shared" si="5"/>
        <v>2.9879164117652124E-4</v>
      </c>
    </row>
    <row r="112" spans="1:5" x14ac:dyDescent="0.25">
      <c r="A112" s="1">
        <v>44986</v>
      </c>
      <c r="B112" s="18">
        <v>7.1000000000000004E-3</v>
      </c>
      <c r="C112" s="1">
        <f t="shared" si="3"/>
        <v>45016</v>
      </c>
      <c r="D112">
        <f t="shared" si="4"/>
        <v>31</v>
      </c>
      <c r="E112" s="4">
        <f t="shared" si="5"/>
        <v>2.2824906653129418E-4</v>
      </c>
    </row>
    <row r="113" spans="1:5" x14ac:dyDescent="0.25">
      <c r="A113" s="1">
        <v>45017</v>
      </c>
      <c r="B113" s="18">
        <v>6.1000000000000004E-3</v>
      </c>
      <c r="C113" s="1">
        <f t="shared" si="3"/>
        <v>45046</v>
      </c>
      <c r="D113">
        <f t="shared" si="4"/>
        <v>30</v>
      </c>
      <c r="E113" s="4">
        <f t="shared" si="5"/>
        <v>2.0273622540689651E-4</v>
      </c>
    </row>
    <row r="114" spans="1:5" x14ac:dyDescent="0.25">
      <c r="A114" s="1">
        <v>45047</v>
      </c>
      <c r="B114" s="18">
        <v>2.3E-3</v>
      </c>
      <c r="C114" s="1">
        <f t="shared" si="3"/>
        <v>45077</v>
      </c>
      <c r="D114">
        <f t="shared" si="4"/>
        <v>31</v>
      </c>
      <c r="E114" s="4">
        <f t="shared" si="5"/>
        <v>7.4111102501328574E-5</v>
      </c>
    </row>
    <row r="115" spans="1:5" x14ac:dyDescent="0.25">
      <c r="A115" s="1">
        <v>45078</v>
      </c>
      <c r="B115" s="18">
        <v>-8.0000000000000004E-4</v>
      </c>
      <c r="C115" s="1">
        <f t="shared" si="3"/>
        <v>45107</v>
      </c>
      <c r="D115">
        <f t="shared" si="4"/>
        <v>30</v>
      </c>
      <c r="E115" s="4">
        <f t="shared" si="5"/>
        <v>-2.6676983188589354E-5</v>
      </c>
    </row>
    <row r="116" spans="1:5" x14ac:dyDescent="0.25">
      <c r="A116" s="1">
        <v>45108</v>
      </c>
      <c r="B116" s="18">
        <v>1.1999999999999999E-3</v>
      </c>
      <c r="C116" s="1">
        <f t="shared" si="3"/>
        <v>45138</v>
      </c>
      <c r="D116">
        <f t="shared" si="4"/>
        <v>31</v>
      </c>
      <c r="E116" s="4">
        <f t="shared" si="5"/>
        <v>3.8687218508082211E-5</v>
      </c>
    </row>
    <row r="117" spans="1:5" x14ac:dyDescent="0.25">
      <c r="A117" s="1">
        <v>45139</v>
      </c>
      <c r="B117" s="18">
        <v>2.3E-3</v>
      </c>
      <c r="C117" s="1">
        <f t="shared" si="3"/>
        <v>45169</v>
      </c>
      <c r="D117">
        <f t="shared" si="4"/>
        <v>31</v>
      </c>
      <c r="E117" s="4">
        <f t="shared" si="5"/>
        <v>7.4111102501328574E-5</v>
      </c>
    </row>
    <row r="118" spans="1:5" x14ac:dyDescent="0.25">
      <c r="A118" s="1">
        <v>45170</v>
      </c>
      <c r="B118" s="18">
        <v>2.5999999999999999E-3</v>
      </c>
      <c r="C118" s="1">
        <f t="shared" si="3"/>
        <v>45199</v>
      </c>
      <c r="D118">
        <f t="shared" si="4"/>
        <v>30</v>
      </c>
      <c r="E118" s="4">
        <f t="shared" si="5"/>
        <v>8.6557940831344382E-5</v>
      </c>
    </row>
    <row r="119" spans="1:5" x14ac:dyDescent="0.25">
      <c r="A119" s="1">
        <v>45200</v>
      </c>
      <c r="B119" s="18">
        <v>2.3999999999999998E-3</v>
      </c>
      <c r="C119" s="1">
        <f t="shared" si="3"/>
        <v>45230</v>
      </c>
      <c r="D119">
        <f t="shared" si="4"/>
        <v>31</v>
      </c>
      <c r="E119" s="4">
        <f t="shared" si="5"/>
        <v>7.7329589769581375E-5</v>
      </c>
    </row>
    <row r="120" spans="1:5" x14ac:dyDescent="0.25">
      <c r="A120" s="1">
        <v>45231</v>
      </c>
      <c r="B120" s="18">
        <v>2.8E-3</v>
      </c>
      <c r="C120" s="1">
        <f t="shared" si="3"/>
        <v>45260</v>
      </c>
      <c r="D120">
        <f t="shared" si="4"/>
        <v>30</v>
      </c>
      <c r="E120" s="4">
        <f t="shared" si="5"/>
        <v>9.3207253592852979E-5</v>
      </c>
    </row>
    <row r="121" spans="1:5" x14ac:dyDescent="0.25">
      <c r="A121" s="1">
        <v>45261</v>
      </c>
      <c r="B121" s="18">
        <v>5.5999999999999999E-3</v>
      </c>
      <c r="C121" s="1">
        <f t="shared" si="3"/>
        <v>45291</v>
      </c>
      <c r="D121">
        <f t="shared" si="4"/>
        <v>31</v>
      </c>
      <c r="E121" s="4">
        <f t="shared" si="5"/>
        <v>1.8015746169375291E-4</v>
      </c>
    </row>
    <row r="122" spans="1:5" x14ac:dyDescent="0.25">
      <c r="A122" s="1">
        <v>45292</v>
      </c>
      <c r="B122" s="18">
        <v>4.1999999999999997E-3</v>
      </c>
      <c r="C122" s="1">
        <f t="shared" si="3"/>
        <v>45322</v>
      </c>
      <c r="D122">
        <f t="shared" si="4"/>
        <v>31</v>
      </c>
      <c r="E122" s="4">
        <f t="shared" si="5"/>
        <v>1.3520928893484552E-4</v>
      </c>
    </row>
    <row r="123" spans="1:5" x14ac:dyDescent="0.25">
      <c r="A123" s="1">
        <v>45323</v>
      </c>
      <c r="B123" s="18">
        <v>8.3000000000000001E-3</v>
      </c>
      <c r="C123" s="1">
        <f t="shared" si="3"/>
        <v>45351</v>
      </c>
      <c r="D123">
        <f t="shared" si="4"/>
        <v>29</v>
      </c>
      <c r="E123" s="4">
        <f t="shared" si="5"/>
        <v>2.8506629322855304E-4</v>
      </c>
    </row>
    <row r="124" spans="1:5" x14ac:dyDescent="0.25">
      <c r="A124" s="1">
        <v>45352</v>
      </c>
      <c r="B124" s="18">
        <v>1.6000000000000001E-3</v>
      </c>
      <c r="C124" s="1">
        <f t="shared" si="3"/>
        <v>45382</v>
      </c>
      <c r="D124">
        <f t="shared" si="4"/>
        <v>31</v>
      </c>
      <c r="E124" s="4">
        <f t="shared" si="5"/>
        <v>5.1572986734305104E-5</v>
      </c>
    </row>
    <row r="125" spans="1:5" x14ac:dyDescent="0.25">
      <c r="A125" s="1">
        <v>45383</v>
      </c>
      <c r="B125" s="18">
        <v>3.8E-3</v>
      </c>
      <c r="C125" s="1">
        <f t="shared" si="3"/>
        <v>45412</v>
      </c>
      <c r="D125">
        <f t="shared" si="4"/>
        <v>30</v>
      </c>
      <c r="E125" s="4">
        <f t="shared" si="5"/>
        <v>1.2643460013683772E-4</v>
      </c>
    </row>
    <row r="126" spans="1:5" x14ac:dyDescent="0.25">
      <c r="A126" s="1">
        <v>45413</v>
      </c>
      <c r="B126" s="18">
        <v>4.5999999999999999E-3</v>
      </c>
      <c r="C126" s="1">
        <f t="shared" si="3"/>
        <v>45443</v>
      </c>
      <c r="D126">
        <f t="shared" si="4"/>
        <v>31</v>
      </c>
      <c r="E126" s="4">
        <f t="shared" si="5"/>
        <v>1.4805780895321696E-4</v>
      </c>
    </row>
    <row r="127" spans="1:5" x14ac:dyDescent="0.25">
      <c r="A127" s="1">
        <v>45444</v>
      </c>
      <c r="B127" s="18">
        <v>2.0999999999999999E-3</v>
      </c>
      <c r="C127" s="1">
        <f t="shared" si="3"/>
        <v>45473</v>
      </c>
      <c r="D127">
        <f t="shared" si="4"/>
        <v>30</v>
      </c>
      <c r="E127" s="4">
        <f t="shared" si="5"/>
        <v>6.9929047660011179E-5</v>
      </c>
    </row>
    <row r="128" spans="1:5" x14ac:dyDescent="0.25">
      <c r="A128" s="1">
        <v>45474</v>
      </c>
      <c r="B128" s="18">
        <v>3.8E-3</v>
      </c>
      <c r="C128" s="1">
        <f t="shared" si="3"/>
        <v>45504</v>
      </c>
      <c r="D128">
        <f t="shared" si="4"/>
        <v>31</v>
      </c>
      <c r="E128" s="4">
        <f t="shared" si="5"/>
        <v>1.2235581514263849E-4</v>
      </c>
    </row>
    <row r="129" spans="1:5" x14ac:dyDescent="0.25">
      <c r="A129" s="1">
        <v>45505</v>
      </c>
      <c r="B129" s="18">
        <v>-2.0000000000000001E-4</v>
      </c>
      <c r="C129" s="1">
        <f t="shared" si="3"/>
        <v>45535</v>
      </c>
      <c r="D129">
        <f t="shared" si="4"/>
        <v>31</v>
      </c>
      <c r="E129" s="4">
        <f t="shared" si="5"/>
        <v>-6.4522373347530859E-6</v>
      </c>
    </row>
    <row r="130" spans="1:5" x14ac:dyDescent="0.25">
      <c r="A130" s="1">
        <v>45536</v>
      </c>
      <c r="B130" s="18">
        <v>4.4000000000000003E-3</v>
      </c>
      <c r="C130" s="1">
        <f t="shared" si="3"/>
        <v>45565</v>
      </c>
      <c r="D130">
        <f t="shared" si="4"/>
        <v>30</v>
      </c>
      <c r="E130" s="4">
        <f t="shared" si="5"/>
        <v>1.4635565232001824E-4</v>
      </c>
    </row>
    <row r="131" spans="1:5" x14ac:dyDescent="0.25">
      <c r="A131" s="1">
        <v>45566</v>
      </c>
      <c r="B131" s="18">
        <v>5.5999999999999999E-3</v>
      </c>
      <c r="C131" s="1">
        <f t="shared" ref="C131:C137" si="6">EOMONTH(A131,0)</f>
        <v>45596</v>
      </c>
      <c r="D131">
        <f t="shared" ref="D131:D137" si="7">C131-A131+1</f>
        <v>31</v>
      </c>
      <c r="E131" s="4">
        <f t="shared" ref="E131:E137" si="8">((1+B131)^(1/D131))-1</f>
        <v>1.8015746169375291E-4</v>
      </c>
    </row>
    <row r="132" spans="1:5" x14ac:dyDescent="0.25">
      <c r="A132" s="1">
        <v>45597</v>
      </c>
      <c r="B132" s="18">
        <v>3.8999999999999998E-3</v>
      </c>
      <c r="C132" s="1">
        <f t="shared" si="6"/>
        <v>45626</v>
      </c>
      <c r="D132">
        <f t="shared" si="7"/>
        <v>30</v>
      </c>
      <c r="E132" s="4">
        <f t="shared" si="8"/>
        <v>1.297555747046264E-4</v>
      </c>
    </row>
    <row r="133" spans="1:5" x14ac:dyDescent="0.25">
      <c r="A133" s="1">
        <v>45627</v>
      </c>
      <c r="B133" s="18">
        <v>5.1999999999999998E-3</v>
      </c>
      <c r="C133" s="1">
        <f t="shared" si="6"/>
        <v>45657</v>
      </c>
      <c r="D133">
        <f t="shared" si="7"/>
        <v>31</v>
      </c>
      <c r="E133" s="4">
        <f t="shared" si="8"/>
        <v>1.6732130914243193E-4</v>
      </c>
    </row>
    <row r="134" spans="1:5" x14ac:dyDescent="0.25">
      <c r="A134" s="1">
        <v>45658</v>
      </c>
      <c r="B134" s="18">
        <v>1.6000000000000001E-3</v>
      </c>
      <c r="C134" s="1">
        <f t="shared" si="6"/>
        <v>45688</v>
      </c>
      <c r="D134">
        <f t="shared" si="7"/>
        <v>31</v>
      </c>
      <c r="E134" s="4">
        <f t="shared" si="8"/>
        <v>5.1572986734305104E-5</v>
      </c>
    </row>
    <row r="135" spans="1:5" x14ac:dyDescent="0.25">
      <c r="A135" s="1">
        <v>45689</v>
      </c>
      <c r="B135" s="18">
        <v>1.3100000000000001E-2</v>
      </c>
      <c r="C135" s="1">
        <f t="shared" si="6"/>
        <v>45716</v>
      </c>
      <c r="D135">
        <f t="shared" si="7"/>
        <v>28</v>
      </c>
      <c r="E135" s="4">
        <f t="shared" si="8"/>
        <v>4.6492722651469975E-4</v>
      </c>
    </row>
    <row r="136" spans="1:5" x14ac:dyDescent="0.25">
      <c r="A136" s="1">
        <v>45717</v>
      </c>
      <c r="B136" s="18">
        <v>5.5999999999999999E-3</v>
      </c>
      <c r="C136" s="1">
        <f t="shared" si="6"/>
        <v>45747</v>
      </c>
      <c r="D136">
        <f t="shared" si="7"/>
        <v>31</v>
      </c>
      <c r="E136" s="4">
        <f t="shared" si="8"/>
        <v>1.8015746169375291E-4</v>
      </c>
    </row>
    <row r="137" spans="1:5" x14ac:dyDescent="0.25">
      <c r="A137" s="1">
        <v>45748</v>
      </c>
      <c r="B137" s="18">
        <v>4.3E-3</v>
      </c>
      <c r="C137" s="1">
        <f t="shared" si="6"/>
        <v>45777</v>
      </c>
      <c r="D137">
        <f t="shared" si="7"/>
        <v>30</v>
      </c>
      <c r="E137" s="4">
        <f t="shared" si="8"/>
        <v>1.4303627595135815E-4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Calculadora de Investimento</vt:lpstr>
      <vt:lpstr>Planilha Base</vt:lpstr>
      <vt:lpstr>IPCA 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Jamil Araujo Machado</dc:creator>
  <cp:lastModifiedBy>Jamil Araujo Machado</cp:lastModifiedBy>
  <dcterms:created xsi:type="dcterms:W3CDTF">2025-06-03T22:49:03Z</dcterms:created>
  <dcterms:modified xsi:type="dcterms:W3CDTF">2025-06-06T17:37:55Z</dcterms:modified>
</cp:coreProperties>
</file>